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1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palak2\Desktop\"/>
    </mc:Choice>
  </mc:AlternateContent>
  <xr:revisionPtr revIDLastSave="21" documentId="8_{89B652F7-1120-4EC5-9457-F680C6CA8FF8}" xr6:coauthVersionLast="47" xr6:coauthVersionMax="47" xr10:uidLastSave="{C29FACBD-F382-4428-A45C-4D3D9FBA25F9}"/>
  <bookViews>
    <workbookView xWindow="-108" yWindow="-108" windowWidth="23256" windowHeight="14016" firstSheet="3" activeTab="2" xr2:uid="{00000000-000D-0000-FFFF-FFFF00000000}"/>
  </bookViews>
  <sheets>
    <sheet name="Classification_Perf_OverallUIC" sheetId="1" r:id="rId1"/>
    <sheet name="Classification_Perf_SPHLAS" sheetId="2" r:id="rId2"/>
    <sheet name="ARIMA_Perf_NEWOverallUIC" sheetId="3" r:id="rId3"/>
    <sheet name="ARIMA_Perf_CONTOverallUIC" sheetId="6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2" l="1"/>
  <c r="G5" i="2"/>
  <c r="G6" i="2"/>
  <c r="G7" i="2"/>
  <c r="G3" i="2"/>
  <c r="F3" i="2"/>
  <c r="F4" i="2"/>
  <c r="F5" i="2"/>
  <c r="F6" i="2"/>
  <c r="F7" i="2"/>
  <c r="E3" i="2"/>
  <c r="E4" i="2"/>
  <c r="E5" i="2"/>
  <c r="E6" i="2"/>
  <c r="E7" i="2"/>
  <c r="D3" i="2"/>
  <c r="D4" i="2"/>
  <c r="D5" i="2"/>
  <c r="D6" i="2"/>
  <c r="D7" i="2"/>
  <c r="E27" i="6"/>
  <c r="D27" i="6"/>
  <c r="F25" i="6"/>
  <c r="F26" i="6"/>
  <c r="F24" i="6"/>
  <c r="F27" i="6" s="1"/>
  <c r="E23" i="6"/>
  <c r="D23" i="6"/>
  <c r="F15" i="6"/>
  <c r="F16" i="6"/>
  <c r="F17" i="6"/>
  <c r="F18" i="6"/>
  <c r="F19" i="6"/>
  <c r="F20" i="6"/>
  <c r="F21" i="6"/>
  <c r="F22" i="6"/>
  <c r="F14" i="6"/>
  <c r="F4" i="1"/>
  <c r="F5" i="1"/>
  <c r="F6" i="1"/>
  <c r="F7" i="1"/>
  <c r="E4" i="1"/>
  <c r="E5" i="1"/>
  <c r="E6" i="1"/>
  <c r="E7" i="1"/>
  <c r="G32" i="3"/>
  <c r="G12" i="3"/>
  <c r="C4" i="1"/>
  <c r="C6" i="1"/>
  <c r="C7" i="1"/>
  <c r="H7" i="1"/>
  <c r="I7" i="1"/>
  <c r="J7" i="1"/>
  <c r="G7" i="1"/>
  <c r="D7" i="1" s="1"/>
  <c r="H6" i="1"/>
  <c r="I6" i="1"/>
  <c r="J6" i="1"/>
  <c r="G6" i="1"/>
  <c r="D6" i="1" s="1"/>
  <c r="H5" i="1"/>
  <c r="I5" i="1"/>
  <c r="J5" i="1"/>
  <c r="G5" i="1"/>
  <c r="D5" i="1" s="1"/>
  <c r="H4" i="1"/>
  <c r="I4" i="1"/>
  <c r="J4" i="1"/>
  <c r="G4" i="1"/>
  <c r="U61" i="1"/>
  <c r="T61" i="1"/>
  <c r="S61" i="1"/>
  <c r="R61" i="1"/>
  <c r="E13" i="6"/>
  <c r="D13" i="6"/>
  <c r="F5" i="6"/>
  <c r="F6" i="6"/>
  <c r="F7" i="6"/>
  <c r="F8" i="6"/>
  <c r="F9" i="6"/>
  <c r="F10" i="6"/>
  <c r="F11" i="6"/>
  <c r="F12" i="6"/>
  <c r="F4" i="6"/>
  <c r="F32" i="3"/>
  <c r="E32" i="3"/>
  <c r="D32" i="3"/>
  <c r="F26" i="3"/>
  <c r="E26" i="3"/>
  <c r="D26" i="3"/>
  <c r="D12" i="3"/>
  <c r="E12" i="3"/>
  <c r="F12" i="3"/>
  <c r="F13" i="6" l="1"/>
  <c r="F23" i="6"/>
  <c r="D4" i="1"/>
  <c r="C5" i="1"/>
  <c r="G26" i="3"/>
  <c r="O61" i="1"/>
  <c r="N61" i="1"/>
  <c r="P61" i="1"/>
  <c r="Q61" i="1" l="1"/>
</calcChain>
</file>

<file path=xl/sharedStrings.xml><?xml version="1.0" encoding="utf-8"?>
<sst xmlns="http://schemas.openxmlformats.org/spreadsheetml/2006/main" count="240" uniqueCount="163">
  <si>
    <t>EVALUATION of Tree Ensemble Model for CONTINUING STUDENTS - UIC Fall 2023</t>
  </si>
  <si>
    <t>Student Level</t>
  </si>
  <si>
    <t>Accuracy</t>
  </si>
  <si>
    <t>Precision</t>
  </si>
  <si>
    <t>Recall</t>
  </si>
  <si>
    <t>F1 Score</t>
  </si>
  <si>
    <t>True Positive</t>
  </si>
  <si>
    <t>False Positive</t>
  </si>
  <si>
    <t>True Negative</t>
  </si>
  <si>
    <t>False Negative</t>
  </si>
  <si>
    <t>Student Level_College Name</t>
  </si>
  <si>
    <t>Confusion_Matrix</t>
  </si>
  <si>
    <t>Graduate</t>
  </si>
  <si>
    <t>Graduate - Chicago_Education</t>
  </si>
  <si>
    <t>[[ 18  81]
 [ 20 286]]</t>
  </si>
  <si>
    <t>Undergraduate</t>
  </si>
  <si>
    <t>Graduate - Chicago_Urban Planning &amp;Public Affairs</t>
  </si>
  <si>
    <t>[[ 10  35]
 [  4 103]]</t>
  </si>
  <si>
    <t>Professional</t>
  </si>
  <si>
    <t>Graduate - Chicago_Engineering</t>
  </si>
  <si>
    <t>[[ 21  86]
 [ 14 593]]</t>
  </si>
  <si>
    <t>Law</t>
  </si>
  <si>
    <t>Graduate - Chicago_Business Administration</t>
  </si>
  <si>
    <t>[[ 16  77]
 [ 23 373]]</t>
  </si>
  <si>
    <t>Graduate - Chicago_Liberal Arts &amp; Sciences</t>
  </si>
  <si>
    <t>[[  7  83]
 [ 10 632]]</t>
  </si>
  <si>
    <t>Graduate - Chicago_Applied Health Sciences</t>
  </si>
  <si>
    <t>[[ 21  93]
 [ 13 284]]</t>
  </si>
  <si>
    <t>Graduate - Chicago_Coll of Med Office of the Dean</t>
  </si>
  <si>
    <t>[[ 0  1]
 [ 0 72]]</t>
  </si>
  <si>
    <t>Graduate - Chicago_School of Public Health</t>
  </si>
  <si>
    <t>[[ 24  61]
 [  9 293]]</t>
  </si>
  <si>
    <t>Accuracy is the proportion of correctly classified instances.</t>
  </si>
  <si>
    <t>Graduate - Chicago_Dentistry</t>
  </si>
  <si>
    <t>[[ 0  6]
 [ 0 16]]</t>
  </si>
  <si>
    <t>Graduate - Chicago_Pharmacy</t>
  </si>
  <si>
    <t>[[ 3 19]
 [ 0 83]]</t>
  </si>
  <si>
    <t>Precision is the proportion of true positive predictions among all instances predicted as positive.</t>
  </si>
  <si>
    <t>Graduate - Chicago_Nursing</t>
  </si>
  <si>
    <t>[[  3  14]
 [  4 181]]</t>
  </si>
  <si>
    <t>Graduate - Chicago_Social Work</t>
  </si>
  <si>
    <t>[[  1  20]
 [  7 174]]</t>
  </si>
  <si>
    <t>Recall (Sensitivity) is the proportion of true positive predictions among all actual positives</t>
  </si>
  <si>
    <t>Graduate - Chicago_Coll Medicine at Chicago - BS</t>
  </si>
  <si>
    <t>[[ 8 30]
 [ 2 44]]</t>
  </si>
  <si>
    <t>Graduate - Chicago_Graduate College</t>
  </si>
  <si>
    <t>[[ 0  1]
 [ 1 25]]</t>
  </si>
  <si>
    <t>F1 Score is the harmonic mean of precision and recall. It is a useful metric when both false positives and false negatives are important.</t>
  </si>
  <si>
    <t>Graduate - Chicago_College of Medicine Rockford</t>
  </si>
  <si>
    <t>[[ 8  5]
 [ 3 28]]</t>
  </si>
  <si>
    <t>Graduate - Chicago_Architecture,Design,&amp; the Arts</t>
  </si>
  <si>
    <t>[[ 0 15]
 [ 0 84]]</t>
  </si>
  <si>
    <t>Graduate - Chicago_Coll Medicine at Chicago - CS</t>
  </si>
  <si>
    <t>[[0 1]
 [0 1]]</t>
  </si>
  <si>
    <t>Graduate Non-Degree Chicago_Nursing</t>
  </si>
  <si>
    <t>[[57  0]
 [ 3  1]]</t>
  </si>
  <si>
    <t>Graduate Non-Degree Chicago_Urban Planning &amp;Public Affairs</t>
  </si>
  <si>
    <t>[[1 0]
 [1 0]]</t>
  </si>
  <si>
    <t>Graduate Non-Degree Chicago_Graduate College</t>
  </si>
  <si>
    <t>[[39  5]
 [12  7]]</t>
  </si>
  <si>
    <t>Graduate Non-Degree Chicago_Applied Health Sciences</t>
  </si>
  <si>
    <t>[[48 10]
 [18 15]]</t>
  </si>
  <si>
    <t>Graduate Non-Degree Chicago_UIC Extended Campus</t>
  </si>
  <si>
    <t>[[58 27]
 [ 8 63]]</t>
  </si>
  <si>
    <t>Graduate Non-Degree Chicago_School of Public Health</t>
  </si>
  <si>
    <t>[[9 0]
 [0 1]]</t>
  </si>
  <si>
    <t>Graduate Non-Degree Chicago_Education</t>
  </si>
  <si>
    <t>[[11  2]
 [ 7  1]]</t>
  </si>
  <si>
    <t>Graduate Non-Degree Chicago_Liberal Arts &amp; Sciences</t>
  </si>
  <si>
    <t>[[5 1]
 [3 0]]</t>
  </si>
  <si>
    <t>Graduate Non-Degree Chicago_Pharmacy</t>
  </si>
  <si>
    <t>[[0 0]
 [0 1]]</t>
  </si>
  <si>
    <t>Graduate Non-Degree Chicago_Engineering</t>
  </si>
  <si>
    <t>[[1 2]
 [0 2]]</t>
  </si>
  <si>
    <t>Graduate Non-Degree Chicago_Business Administration</t>
  </si>
  <si>
    <t>Graduate Online – Chicago_Business Administration</t>
  </si>
  <si>
    <t>[[  4  45]
 [  2 122]]</t>
  </si>
  <si>
    <t>Graduate Online – Chicago_Engineering</t>
  </si>
  <si>
    <t>[[0 6]
 [0 8]]</t>
  </si>
  <si>
    <t>Professional - Chicago_Dentistry</t>
  </si>
  <si>
    <t>[[  0   6]
 [  2 263]]</t>
  </si>
  <si>
    <t>Professional - Chicago_Nursing</t>
  </si>
  <si>
    <t>[[  8  22]
 [  8 179]]</t>
  </si>
  <si>
    <t>Professional - Chicago_Applied Health Sciences</t>
  </si>
  <si>
    <t>[[  3   4]
 [  3 128]]</t>
  </si>
  <si>
    <t>Professional - Chicago_Pharmacy</t>
  </si>
  <si>
    <t>[[  4  15]
 [  2 409]]</t>
  </si>
  <si>
    <t>Professional - Chicago_Coll Medicine at Chicago - CS</t>
  </si>
  <si>
    <t>[[  2  16]
 [  6 499]]</t>
  </si>
  <si>
    <t>Professional - Chicago_School of Public Health</t>
  </si>
  <si>
    <t>[[ 9  9]
 [10 88]]</t>
  </si>
  <si>
    <t>Professional - Chicago_College of Medicine Rockford</t>
  </si>
  <si>
    <t>[[  1   5]
 [  0 145]]</t>
  </si>
  <si>
    <t>Professional - Chicago_College of Medicine at Peoria</t>
  </si>
  <si>
    <t>[[  1  16]
 [  2 135]]</t>
  </si>
  <si>
    <t>Undergrad - Chicago_Liberal Arts &amp; Sciences</t>
  </si>
  <si>
    <t>[[ 557  671]
 [ 473 5525]]</t>
  </si>
  <si>
    <t>Undergrad - Chicago_Engineering</t>
  </si>
  <si>
    <t>[[ 182  269]
 [ 136 3005]]</t>
  </si>
  <si>
    <t>Undergrad - Chicago_Business Administration</t>
  </si>
  <si>
    <t>[[ 140  259]
 [ 158 2456]]</t>
  </si>
  <si>
    <t>Undergrad - Chicago_Education</t>
  </si>
  <si>
    <t>[[ 21  41]
 [ 14 364]]</t>
  </si>
  <si>
    <t>Undergrad - Chicago_Applied Health Sciences</t>
  </si>
  <si>
    <t>[[ 52  98]
 [ 37 646]]</t>
  </si>
  <si>
    <t>Undergrad - Chicago_School of Public Health</t>
  </si>
  <si>
    <t>[[  7  19]
 [  6 106]]</t>
  </si>
  <si>
    <t>Undergrad - Chicago_Architecture,Design,&amp; the Arts</t>
  </si>
  <si>
    <t>[[ 57  86]
 [ 35 762]]</t>
  </si>
  <si>
    <t>Undergrad - Chicago_Nursing</t>
  </si>
  <si>
    <t>[[ 41 130]
 [ 67 359]]</t>
  </si>
  <si>
    <t>Undergrad - Chicago_Urban Planning &amp;Public Affairs</t>
  </si>
  <si>
    <t>[[  7  24]
 [  5 131]]</t>
  </si>
  <si>
    <t>Undergrad - Chicago_Pharmacy</t>
  </si>
  <si>
    <t>[[0 5]
 [0 4]]</t>
  </si>
  <si>
    <t>Undergrad Non-Degree Chicago_Engineering</t>
  </si>
  <si>
    <t>[[25 22]
 [ 1  2]]</t>
  </si>
  <si>
    <t>Undergrad Non-Degree Chicago_Business Administration</t>
  </si>
  <si>
    <t>[[34 16]
 [ 5  2]]</t>
  </si>
  <si>
    <t>Undergrad Non-Degree Chicago_VP Undrgrd Affrs &amp; Acdmc Prgms</t>
  </si>
  <si>
    <t>[[197  29]
 [  1   0]]</t>
  </si>
  <si>
    <t>Undergrad Non-Degree Chicago_Liberal Arts &amp; Sciences</t>
  </si>
  <si>
    <t>[[83 14]
 [17  0]]</t>
  </si>
  <si>
    <t>Undergrad Non-Degree Chicago_Architecture,Design,&amp; the Arts</t>
  </si>
  <si>
    <t>[[5 3]
 [0 2]]</t>
  </si>
  <si>
    <t>Undergrad Non-Degree Chicago_Applied Health Sciences</t>
  </si>
  <si>
    <t>[[2 1]
 [0 0]]</t>
  </si>
  <si>
    <t>Undergrad Non-Degree Chicago_School of Public Health</t>
  </si>
  <si>
    <t>Non-Credit - Chicago_VP for Global Engagement</t>
  </si>
  <si>
    <t>[[ 0 92]
 [ 0  4]]</t>
  </si>
  <si>
    <t>Law - Chicago_UIC School of Law</t>
  </si>
  <si>
    <t>[[ 27  42]
 [ 52 547]]</t>
  </si>
  <si>
    <t>EVALUATION - Classification Model for CONTINUING STUDENTS - UIC SPH, UIC LAS - Fall 2023</t>
  </si>
  <si>
    <t>Label Name</t>
  </si>
  <si>
    <t>Graduate - School of Public Health</t>
  </si>
  <si>
    <t>Professional - School of Public Health</t>
  </si>
  <si>
    <t>Undergrad - School of Public Health</t>
  </si>
  <si>
    <t>Graduate - Liberal Arts &amp; Sciences</t>
  </si>
  <si>
    <t>Undergrad - Liberal Arts &amp; Sciences</t>
  </si>
  <si>
    <t>EVALUATION - ARIMA Model for NON-CONTINUING STUDENTS - UIC Fall 2023</t>
  </si>
  <si>
    <t>COLL_CD</t>
  </si>
  <si>
    <t>Predicted
MAX(Non-continuing students)</t>
  </si>
  <si>
    <t>Actual 
Fall 2023 Non-Continuing Students</t>
  </si>
  <si>
    <t>Error from 
prediction in July 2023</t>
  </si>
  <si>
    <t>Error % 
from prediction in July 2023</t>
  </si>
  <si>
    <t>Undergrad</t>
  </si>
  <si>
    <t>Applied Health Sciences</t>
  </si>
  <si>
    <t>Architecture,Design,&amp; the Arts</t>
  </si>
  <si>
    <t>Business Administration</t>
  </si>
  <si>
    <t>Education</t>
  </si>
  <si>
    <t>Engineering</t>
  </si>
  <si>
    <t>Liberal Arts &amp; Sciences</t>
  </si>
  <si>
    <t>Nursing</t>
  </si>
  <si>
    <t>School of Public Health</t>
  </si>
  <si>
    <t>Dentistry</t>
  </si>
  <si>
    <t>Pharmacy</t>
  </si>
  <si>
    <t>Social Work</t>
  </si>
  <si>
    <t>Urban Planning &amp;Public Affairs</t>
  </si>
  <si>
    <t>Medicine</t>
  </si>
  <si>
    <t>EVALUATION - ARIMA Model for CONTINUING STUDENTS - UIC Fall 2023</t>
  </si>
  <si>
    <t>Student 
Level</t>
  </si>
  <si>
    <t>Pred(Continuing students)
July 2023</t>
  </si>
  <si>
    <t>Original 2023 Continuing Students
November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</si>
</sst>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DD2C09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3636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0.34998626667073579"/>
        <bgColor theme="0" tint="-0.14999847407452621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theme="0" tint="-0.14999847407452621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theme="0" tint="-0.14999847407452621"/>
      </patternFill>
    </fill>
    <fill>
      <patternFill patternType="solid">
        <fgColor theme="3" tint="0.39997558519241921"/>
        <bgColor theme="0" tint="-0.14999847407452621"/>
      </patternFill>
    </fill>
  </fills>
  <borders count="4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4">
    <xf numFmtId="0" fontId="0" fillId="0" borderId="0" xfId="0"/>
    <xf numFmtId="1" fontId="2" fillId="7" borderId="1" xfId="0" applyNumberFormat="1" applyFont="1" applyFill="1" applyBorder="1" applyAlignment="1">
      <alignment horizontal="center" vertical="center"/>
    </xf>
    <xf numFmtId="1" fontId="1" fillId="9" borderId="1" xfId="0" applyNumberFormat="1" applyFont="1" applyFill="1" applyBorder="1" applyAlignment="1">
      <alignment horizontal="center" vertical="center"/>
    </xf>
    <xf numFmtId="1" fontId="4" fillId="8" borderId="1" xfId="0" applyNumberFormat="1" applyFont="1" applyFill="1" applyBorder="1" applyAlignment="1">
      <alignment horizontal="center" vertical="center"/>
    </xf>
    <xf numFmtId="1" fontId="3" fillId="5" borderId="1" xfId="0" applyNumberFormat="1" applyFont="1" applyFill="1" applyBorder="1" applyAlignment="1">
      <alignment horizontal="center" vertical="center"/>
    </xf>
    <xf numFmtId="1" fontId="0" fillId="7" borderId="1" xfId="0" applyNumberFormat="1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1" fontId="0" fillId="3" borderId="1" xfId="0" applyNumberFormat="1" applyFont="1" applyFill="1" applyBorder="1" applyAlignment="1">
      <alignment horizontal="center" vertical="center"/>
    </xf>
    <xf numFmtId="1" fontId="0" fillId="11" borderId="1" xfId="0" applyNumberFormat="1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6" fillId="2" borderId="13" xfId="0" applyFont="1" applyFill="1" applyBorder="1"/>
    <xf numFmtId="0" fontId="6" fillId="0" borderId="13" xfId="0" applyFont="1" applyBorder="1"/>
    <xf numFmtId="1" fontId="0" fillId="7" borderId="23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1" fillId="4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" fillId="10" borderId="25" xfId="0" applyFont="1" applyFill="1" applyBorder="1" applyAlignment="1">
      <alignment horizontal="center" vertical="center"/>
    </xf>
    <xf numFmtId="10" fontId="0" fillId="6" borderId="23" xfId="0" applyNumberFormat="1" applyFill="1" applyBorder="1" applyAlignment="1">
      <alignment horizontal="center" vertical="center"/>
    </xf>
    <xf numFmtId="0" fontId="1" fillId="10" borderId="26" xfId="0" applyFont="1" applyFill="1" applyBorder="1" applyAlignment="1">
      <alignment horizontal="center" vertical="center"/>
    </xf>
    <xf numFmtId="1" fontId="1" fillId="6" borderId="27" xfId="0" applyNumberFormat="1" applyFont="1" applyFill="1" applyBorder="1" applyAlignment="1">
      <alignment horizontal="center" vertical="center"/>
    </xf>
    <xf numFmtId="0" fontId="0" fillId="6" borderId="23" xfId="0" applyFill="1" applyBorder="1" applyAlignment="1">
      <alignment horizontal="center" vertical="center"/>
    </xf>
    <xf numFmtId="10" fontId="0" fillId="6" borderId="23" xfId="0" applyNumberFormat="1" applyFill="1" applyBorder="1"/>
    <xf numFmtId="0" fontId="0" fillId="0" borderId="12" xfId="0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10" fontId="1" fillId="10" borderId="25" xfId="0" applyNumberFormat="1" applyFont="1" applyFill="1" applyBorder="1" applyAlignment="1">
      <alignment horizontal="center" vertical="center"/>
    </xf>
    <xf numFmtId="1" fontId="1" fillId="10" borderId="25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" fontId="1" fillId="13" borderId="1" xfId="0" applyNumberFormat="1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1" fontId="0" fillId="0" borderId="1" xfId="0" applyNumberFormat="1" applyFont="1" applyBorder="1" applyAlignment="1">
      <alignment horizontal="center" vertical="center"/>
    </xf>
    <xf numFmtId="0" fontId="0" fillId="0" borderId="0" xfId="0" applyBorder="1"/>
    <xf numFmtId="0" fontId="0" fillId="0" borderId="14" xfId="0" applyBorder="1"/>
    <xf numFmtId="0" fontId="6" fillId="2" borderId="15" xfId="0" applyFont="1" applyFill="1" applyBorder="1"/>
    <xf numFmtId="0" fontId="0" fillId="0" borderId="16" xfId="0" applyBorder="1"/>
    <xf numFmtId="0" fontId="0" fillId="0" borderId="17" xfId="0" applyBorder="1"/>
    <xf numFmtId="0" fontId="5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4" fontId="6" fillId="2" borderId="1" xfId="0" applyNumberFormat="1" applyFont="1" applyFill="1" applyBorder="1"/>
    <xf numFmtId="0" fontId="6" fillId="0" borderId="1" xfId="0" applyFont="1" applyBorder="1"/>
    <xf numFmtId="164" fontId="6" fillId="0" borderId="1" xfId="0" applyNumberFormat="1" applyFont="1" applyBorder="1"/>
    <xf numFmtId="0" fontId="6" fillId="2" borderId="10" xfId="0" applyFont="1" applyFill="1" applyBorder="1"/>
    <xf numFmtId="0" fontId="6" fillId="2" borderId="11" xfId="0" applyFont="1" applyFill="1" applyBorder="1"/>
    <xf numFmtId="164" fontId="6" fillId="2" borderId="11" xfId="0" applyNumberFormat="1" applyFont="1" applyFill="1" applyBorder="1"/>
    <xf numFmtId="0" fontId="6" fillId="2" borderId="12" xfId="0" applyFont="1" applyFill="1" applyBorder="1"/>
    <xf numFmtId="0" fontId="6" fillId="0" borderId="25" xfId="0" applyFont="1" applyBorder="1"/>
    <xf numFmtId="0" fontId="6" fillId="0" borderId="23" xfId="0" applyFont="1" applyBorder="1"/>
    <xf numFmtId="0" fontId="6" fillId="2" borderId="26" xfId="0" applyFont="1" applyFill="1" applyBorder="1"/>
    <xf numFmtId="0" fontId="6" fillId="2" borderId="27" xfId="0" applyFont="1" applyFill="1" applyBorder="1"/>
    <xf numFmtId="164" fontId="6" fillId="2" borderId="27" xfId="0" applyNumberFormat="1" applyFont="1" applyFill="1" applyBorder="1"/>
    <xf numFmtId="0" fontId="6" fillId="2" borderId="28" xfId="0" applyFont="1" applyFill="1" applyBorder="1"/>
    <xf numFmtId="1" fontId="3" fillId="14" borderId="1" xfId="0" applyNumberFormat="1" applyFont="1" applyFill="1" applyBorder="1" applyAlignment="1">
      <alignment horizontal="center" vertical="center"/>
    </xf>
    <xf numFmtId="1" fontId="1" fillId="4" borderId="23" xfId="0" applyNumberFormat="1" applyFont="1" applyFill="1" applyBorder="1" applyAlignment="1">
      <alignment horizontal="center" vertical="center"/>
    </xf>
    <xf numFmtId="0" fontId="1" fillId="10" borderId="23" xfId="0" applyFont="1" applyFill="1" applyBorder="1" applyAlignment="1">
      <alignment horizontal="center" vertical="center"/>
    </xf>
    <xf numFmtId="0" fontId="1" fillId="10" borderId="27" xfId="0" applyFont="1" applyFill="1" applyBorder="1" applyAlignment="1">
      <alignment horizontal="center" vertical="center"/>
    </xf>
    <xf numFmtId="1" fontId="1" fillId="10" borderId="28" xfId="0" applyNumberFormat="1" applyFont="1" applyFill="1" applyBorder="1" applyAlignment="1">
      <alignment horizontal="center" vertical="center"/>
    </xf>
    <xf numFmtId="0" fontId="1" fillId="0" borderId="37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12" borderId="2" xfId="0" applyFont="1" applyFill="1" applyBorder="1" applyAlignment="1">
      <alignment horizontal="center" vertical="center" wrapText="1"/>
    </xf>
    <xf numFmtId="1" fontId="3" fillId="8" borderId="2" xfId="0" applyNumberFormat="1" applyFont="1" applyFill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6" fillId="2" borderId="3" xfId="0" applyFont="1" applyFill="1" applyBorder="1"/>
    <xf numFmtId="164" fontId="6" fillId="2" borderId="3" xfId="0" applyNumberFormat="1" applyFont="1" applyFill="1" applyBorder="1"/>
    <xf numFmtId="0" fontId="5" fillId="0" borderId="39" xfId="0" applyFont="1" applyBorder="1" applyAlignment="1">
      <alignment horizontal="center" vertical="top"/>
    </xf>
    <xf numFmtId="0" fontId="5" fillId="0" borderId="40" xfId="0" applyFont="1" applyBorder="1" applyAlignment="1">
      <alignment horizontal="center" vertical="top"/>
    </xf>
    <xf numFmtId="0" fontId="5" fillId="0" borderId="41" xfId="0" applyFont="1" applyBorder="1" applyAlignment="1">
      <alignment horizontal="center" vertical="top"/>
    </xf>
    <xf numFmtId="0" fontId="6" fillId="2" borderId="38" xfId="0" applyFont="1" applyFill="1" applyBorder="1"/>
    <xf numFmtId="0" fontId="6" fillId="2" borderId="24" xfId="0" applyFont="1" applyFill="1" applyBorder="1"/>
    <xf numFmtId="0" fontId="7" fillId="0" borderId="7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 textRotation="45"/>
    </xf>
    <xf numFmtId="0" fontId="7" fillId="0" borderId="8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</cellXfs>
  <cellStyles count="1">
    <cellStyle name="Normal" xfId="0" builtinId="0"/>
  </cellStyles>
  <dxfs count="44">
    <dxf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medium">
          <color indexed="64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medium">
          <color indexed="64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rgb="FFF3636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" formatCode="0"/>
      <fill>
        <patternFill patternType="solid">
          <fgColor indexed="64"/>
          <bgColor theme="3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center" vertical="center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  <dxf>
      <alignment horizontal="center" vertical="center" wrapText="0" indent="0" justifyLastLine="0" shrinkToFit="0" readingOrder="0"/>
    </dxf>
    <dxf>
      <alignment horizontal="center" vertical="center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  <vertical style="thin">
          <color indexed="64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  <vertical style="thin">
          <color indexed="64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  <vertical style="thin">
          <color indexed="64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  <numFmt numFmtId="164" formatCode="0.0%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  <numFmt numFmtId="164" formatCode="0.0%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  <vertical style="thin">
          <color indexed="64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  <numFmt numFmtId="164" formatCode="0.0%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  <vertical style="thin">
          <color indexed="64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  <numFmt numFmtId="164" formatCode="0.0%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  <vertical style="thin">
          <color indexed="64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  <vertical style="thin">
          <color indexed="64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/>
      </border>
    </dxf>
    <dxf>
      <border>
        <bottom style="medium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%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%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%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%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>
        <bottom style="medium">
          <color indexed="64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</dxfs>
  <tableStyles count="0" defaultTableStyle="TableStyleMedium9" defaultPivotStyle="PivotStyleLight16"/>
  <colors>
    <mruColors>
      <color rgb="FFF36363"/>
      <color rgb="FFDD2C0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4EBB05-B89D-4B56-84F6-2D4701FB31F4}" name="Table1" displayName="Table1" ref="M3:U61" totalsRowCount="1" headerRowDxfId="43" headerRowBorderDxfId="41" tableBorderDxfId="42">
  <autoFilter ref="M3:U60" xr:uid="{CB4EBB05-B89D-4B56-84F6-2D4701FB31F4}"/>
  <tableColumns count="9">
    <tableColumn id="1" xr3:uid="{7046B44E-6420-4E5A-B795-AAB5CB838B7A}" name="Confusion_Matrix"/>
    <tableColumn id="2" xr3:uid="{2CA0C96C-82F5-43FF-8384-72E45D215489}" name="Accuracy" totalsRowFunction="custom">
      <totalsRowFormula>(Table1[[#Totals],[True Positive]]+Table1[[#Totals],[True Negative]])/(Table1[[#Totals],[False Negative]]+Table1[[#Totals],[False Positive]]+Table1[[#Totals],[True Positive]]+Table1[[#Totals],[True Negative]])</totalsRowFormula>
    </tableColumn>
    <tableColumn id="3" xr3:uid="{30565FBE-6735-45BD-A9DA-B95711599BBC}" name="Precision" totalsRowFunction="custom">
      <totalsRowFormula>(Table1[[#Totals],[True Positive]])/(Table1[[#Totals],[False Positive]]+Table1[[#Totals],[True Positive]])</totalsRowFormula>
    </tableColumn>
    <tableColumn id="4" xr3:uid="{10484BD8-9C0A-4F7D-BEE2-8A020CB0F859}" name="Recall" totalsRowFunction="custom">
      <totalsRowFormula>(Table1[[#Totals],[True Positive]])/(Table1[[#Totals],[False Negative]]+Table1[[#Totals],[True Positive]])</totalsRowFormula>
    </tableColumn>
    <tableColumn id="5" xr3:uid="{E4274193-4D9B-4131-B534-8D73B7BA00CC}" name="F1 Score" totalsRowFunction="custom">
      <totalsRowFormula>(2*Table1[[#Totals],[Precision]]*Table1[[#Totals],[Recall]])/(Table1[[#Totals],[Precision]]+Table1[[#Totals],[Recall]])</totalsRowFormula>
    </tableColumn>
    <tableColumn id="6" xr3:uid="{7D541A66-454D-41B4-ACC6-A93D685B9698}" name="True Positive" totalsRowFunction="custom">
      <totalsRowFormula>SUM(Table1[True Positive])</totalsRowFormula>
    </tableColumn>
    <tableColumn id="7" xr3:uid="{56ABBF7E-0DE7-4601-94A4-45F18037D5F8}" name="False Positive" totalsRowFunction="sum"/>
    <tableColumn id="8" xr3:uid="{F53B751C-A4B8-4E79-9E3D-D1A611975931}" name="True Negative" totalsRowFunction="sum"/>
    <tableColumn id="9" xr3:uid="{FCB4375D-66FE-4E29-B050-1FD06D465261}" name="False Negative" totalsRowFunction="sum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7A1BD32-9EB8-443F-B1DC-2316489BB0C8}" name="Table3" displayName="Table3" ref="B3:J7" totalsRowShown="0" headerRowDxfId="40" dataDxfId="39" headerRowBorderDxfId="37" tableBorderDxfId="38" totalsRowBorderDxfId="36">
  <tableColumns count="9">
    <tableColumn id="1" xr3:uid="{0A138132-376B-4287-B08A-158FBF51959D}" name="Student Level" dataDxfId="35"/>
    <tableColumn id="2" xr3:uid="{A98896A2-0946-4885-A311-3A4864C7825B}" name="Accuracy" dataDxfId="34">
      <calculatedColumnFormula>SUM(Table3[[#This Row],[True Positive]],Table3[[#This Row],[True Negative]])/SUM(Table3[[#This Row],[True Positive]],Table3[[#This Row],[True Negative]],Table3[[#This Row],[False Positive]],Table3[[#This Row],[False Negative]])</calculatedColumnFormula>
    </tableColumn>
    <tableColumn id="3" xr3:uid="{8180D989-4782-4EAD-8302-3A15B5904C3C}" name="Precision" dataDxfId="33">
      <calculatedColumnFormula>Table3[[#This Row],[True Positive]]/(Table3[[#This Row],[True Positive]]+Table3[[#This Row],[False Positive]])</calculatedColumnFormula>
    </tableColumn>
    <tableColumn id="4" xr3:uid="{79346C40-8B98-4177-B2D8-50DACBB6DEFF}" name="Recall" dataDxfId="32">
      <calculatedColumnFormula>Table3[[#This Row],[True Positive]]/(Table3[[#This Row],[True Positive]]+Table3[[#This Row],[False Negative]])</calculatedColumnFormula>
    </tableColumn>
    <tableColumn id="5" xr3:uid="{1D518758-372F-4F99-8DF7-D108482354CD}" name="F1 Score" dataDxfId="31">
      <calculatedColumnFormula>2*Table3[[#This Row],[Precision]]*Table3[[#This Row],[Recall]]*(1/(Table3[[#This Row],[Precision]]+Table3[[#This Row],[Recall]]))</calculatedColumnFormula>
    </tableColumn>
    <tableColumn id="6" xr3:uid="{1996351B-90DF-40AE-BB70-D75E2909C4FC}" name="True Positive" dataDxfId="30"/>
    <tableColumn id="7" xr3:uid="{8F19D476-D3BA-49C5-A8E7-0BBD318D9C03}" name="False Positive" dataDxfId="29"/>
    <tableColumn id="8" xr3:uid="{011AC2B2-D3C9-4554-9B24-C550DACC8B15}" name="True Negative" dataDxfId="28"/>
    <tableColumn id="9" xr3:uid="{E3B43B8F-71DC-47C2-A746-DF99F3390765}" name="False Negative" dataDxfId="27"/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88733F4-821A-403F-83D4-6FDDA8F939AD}" name="Table4" displayName="Table4" ref="B2:K7" totalsRowShown="0" headerRowDxfId="26" dataDxfId="25" headerRowBorderDxfId="23" tableBorderDxfId="24">
  <autoFilter ref="B2:K7" xr:uid="{888733F4-821A-403F-83D4-6FDDA8F939AD}"/>
  <tableColumns count="10">
    <tableColumn id="1" xr3:uid="{C24E7EC5-55A3-4BAF-8FA1-79AAD062A938}" name="Label Name" dataDxfId="22"/>
    <tableColumn id="2" xr3:uid="{38A433E5-0E84-40BE-B055-E25346182B13}" name="Confusion_Matrix" dataDxfId="21"/>
    <tableColumn id="3" xr3:uid="{00F09D3C-6CA6-4EC4-96B4-880B13698924}" name="Accuracy" dataDxfId="20">
      <calculatedColumnFormula>(Table4[[#This Row],[True Positive]]+Table4[[#This Row],[True Negative]])/(Table4[[#This Row],[True Positive]]+Table4[[#This Row],[False Positive]]+Table4[[#This Row],[True Negative]]+Table4[[#This Row],[False Negative]])</calculatedColumnFormula>
    </tableColumn>
    <tableColumn id="4" xr3:uid="{59A787EE-BF97-44F9-97B4-CBC6DA6CD68E}" name="Precision" dataDxfId="19">
      <calculatedColumnFormula>Table4[[#This Row],[True Positive]]/(Table4[[#This Row],[True Positive]]+Table4[[#This Row],[False Positive]])</calculatedColumnFormula>
    </tableColumn>
    <tableColumn id="5" xr3:uid="{31AD01FE-4BC6-43D9-AEA7-6D64046D8F87}" name="Recall" dataDxfId="18">
      <calculatedColumnFormula>Table4[[#This Row],[True Positive]]/(Table4[[#This Row],[True Positive]]+Table4[[#This Row],[False Negative]])</calculatedColumnFormula>
    </tableColumn>
    <tableColumn id="6" xr3:uid="{230092BD-68AA-4721-AAE7-45D091DA7C20}" name="F1 Score" dataDxfId="17">
      <calculatedColumnFormula>2*Table4[[#This Row],[Precision]]*Table4[[#This Row],[Recall]]/(Table4[[#This Row],[Precision]]+Table4[[#This Row],[Recall]])</calculatedColumnFormula>
    </tableColumn>
    <tableColumn id="7" xr3:uid="{97EE6D93-9249-4A2F-81F8-CB1E2003DAB2}" name="True Positive" dataDxfId="16"/>
    <tableColumn id="8" xr3:uid="{C7239F07-3C4D-4B1D-BDEC-A0208EC91408}" name="False Positive" dataDxfId="15"/>
    <tableColumn id="9" xr3:uid="{D489EF62-AA96-4F1B-9D9C-2DFD0D7147ED}" name="True Negative" dataDxfId="14"/>
    <tableColumn id="10" xr3:uid="{BF83AD0E-9AE6-45F5-BE22-5A9B26F1E4FF}" name="False Negative" dataDxfId="13"/>
  </tableColumns>
  <tableStyleInfo name="TableStyleLight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5583CC2-7D6B-4530-B817-5CE14D177E97}" name="Table2" displayName="Table2" ref="C3:G26" totalsRowCount="1" headerRowDxfId="12" dataDxfId="11" totalsRowDxfId="10" headerRowCellStyle="Normal">
  <autoFilter ref="C3:G25" xr:uid="{F5583CC2-7D6B-4530-B817-5CE14D177E97}"/>
  <tableColumns count="5">
    <tableColumn id="1" xr3:uid="{AC19C3ED-3753-4BF3-8437-CFDF42A51706}" name="COLL_CD" dataDxfId="8" totalsRowDxfId="9"/>
    <tableColumn id="2" xr3:uid="{2BD8BFE0-3587-49D2-9BE0-560F177BEFA1}" name="Predicted_x000a_MAX(Non-continuing students)" totalsRowFunction="custom" dataDxfId="6" totalsRowDxfId="7">
      <totalsRowFormula>SUM(D13:D25)</totalsRowFormula>
    </tableColumn>
    <tableColumn id="3" xr3:uid="{BB213B5A-6716-4D13-B1F8-BF8EEA8C1436}" name="Actual _x000a_Fall 2023 Non-Continuing Students" totalsRowFunction="custom" dataDxfId="4" totalsRowDxfId="5">
      <totalsRowFormula>SUM(E13:E25)</totalsRowFormula>
    </tableColumn>
    <tableColumn id="4" xr3:uid="{36C173C5-CB94-4EF6-AC65-7D1C89955E7D}" name="Error from _x000a_prediction in July 2023" totalsRowFunction="custom" dataDxfId="2" totalsRowDxfId="3">
      <totalsRowFormula>SUM(F13:F25)</totalsRowFormula>
    </tableColumn>
    <tableColumn id="5" xr3:uid="{3ABA7A67-0D24-4562-9762-69B54F8CA2E3}" name="Error % _x000a_from prediction in July 2023" totalsRowFunction="custom" dataDxfId="0" totalsRowDxfId="1">
      <totalsRowFormula>Table2[[#Totals],[Error from 
prediction in July 2023]]/Table2[[#Totals],[Actual 
Fall 2023 Non-Continuing Students]]</totalsRowFormula>
    </tableColumn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U61"/>
  <sheetViews>
    <sheetView topLeftCell="I1" workbookViewId="0">
      <selection activeCell="C19" sqref="C19"/>
    </sheetView>
  </sheetViews>
  <sheetFormatPr defaultRowHeight="14.45"/>
  <cols>
    <col min="2" max="2" width="13.7109375" customWidth="1"/>
    <col min="3" max="3" width="10.5703125" customWidth="1"/>
    <col min="4" max="4" width="10.42578125" customWidth="1"/>
    <col min="6" max="6" width="9.85546875" customWidth="1"/>
    <col min="7" max="7" width="13.7109375" customWidth="1"/>
    <col min="8" max="8" width="14" customWidth="1"/>
    <col min="9" max="9" width="14.5703125" customWidth="1"/>
    <col min="10" max="10" width="14.85546875" customWidth="1"/>
    <col min="11" max="11" width="13.42578125" customWidth="1"/>
    <col min="12" max="12" width="55.42578125" bestFit="1" customWidth="1"/>
    <col min="13" max="13" width="17.85546875" hidden="1" customWidth="1"/>
    <col min="14" max="14" width="10.5703125" customWidth="1"/>
    <col min="15" max="15" width="10.42578125" customWidth="1"/>
    <col min="17" max="17" width="9.85546875" customWidth="1"/>
    <col min="18" max="18" width="13.7109375" customWidth="1"/>
    <col min="19" max="19" width="14" customWidth="1"/>
    <col min="20" max="20" width="14.5703125" customWidth="1"/>
    <col min="21" max="21" width="14.85546875" customWidth="1"/>
  </cols>
  <sheetData>
    <row r="1" spans="2:21" ht="15" thickBot="1"/>
    <row r="2" spans="2:21" ht="57" customHeight="1" thickBot="1">
      <c r="B2" s="87" t="s">
        <v>0</v>
      </c>
      <c r="C2" s="88"/>
      <c r="D2" s="88"/>
      <c r="E2" s="88"/>
      <c r="F2" s="88"/>
      <c r="G2" s="88"/>
      <c r="H2" s="88"/>
      <c r="I2" s="88"/>
      <c r="J2" s="89"/>
      <c r="L2" s="84" t="s">
        <v>0</v>
      </c>
      <c r="M2" s="85"/>
      <c r="N2" s="85"/>
      <c r="O2" s="85"/>
      <c r="P2" s="85"/>
      <c r="Q2" s="85"/>
      <c r="R2" s="85"/>
      <c r="S2" s="85"/>
      <c r="T2" s="85"/>
      <c r="U2" s="86"/>
    </row>
    <row r="3" spans="2:21" ht="25.15" customHeight="1" thickBot="1">
      <c r="B3" s="45" t="s">
        <v>1</v>
      </c>
      <c r="C3" s="44" t="s">
        <v>2</v>
      </c>
      <c r="D3" s="44" t="s">
        <v>3</v>
      </c>
      <c r="E3" s="44" t="s">
        <v>4</v>
      </c>
      <c r="F3" s="44" t="s">
        <v>5</v>
      </c>
      <c r="G3" s="44" t="s">
        <v>6</v>
      </c>
      <c r="H3" s="44" t="s">
        <v>7</v>
      </c>
      <c r="I3" s="44" t="s">
        <v>8</v>
      </c>
      <c r="J3" s="46" t="s">
        <v>9</v>
      </c>
      <c r="L3" s="39" t="s">
        <v>10</v>
      </c>
      <c r="M3" s="41" t="s">
        <v>11</v>
      </c>
      <c r="N3" s="43" t="s">
        <v>2</v>
      </c>
      <c r="O3" s="42" t="s">
        <v>3</v>
      </c>
      <c r="P3" s="9" t="s">
        <v>4</v>
      </c>
      <c r="Q3" s="9" t="s">
        <v>5</v>
      </c>
      <c r="R3" s="9" t="s">
        <v>6</v>
      </c>
      <c r="S3" s="9" t="s">
        <v>7</v>
      </c>
      <c r="T3" s="9" t="s">
        <v>8</v>
      </c>
      <c r="U3" s="40" t="s">
        <v>9</v>
      </c>
    </row>
    <row r="4" spans="2:21">
      <c r="B4" s="47" t="s">
        <v>12</v>
      </c>
      <c r="C4" s="48">
        <f>SUM(Table3[[#This Row],[True Positive]],Table3[[#This Row],[True Negative]])/SUM(Table3[[#This Row],[True Positive]],Table3[[#This Row],[True Negative]],Table3[[#This Row],[False Positive]],Table3[[#This Row],[False Negative]])</f>
        <v>0.81290729451334875</v>
      </c>
      <c r="D4" s="48">
        <f>Table3[[#This Row],[True Positive]]/(Table3[[#This Row],[True Positive]]+Table3[[#This Row],[False Positive]])</f>
        <v>0.82796208530805682</v>
      </c>
      <c r="E4" s="48">
        <f>Table3[[#This Row],[True Positive]]/(Table3[[#This Row],[True Positive]]+Table3[[#This Row],[False Negative]])</f>
        <v>0.95516675779114268</v>
      </c>
      <c r="F4" s="48">
        <f>2*Table3[[#This Row],[Precision]]*Table3[[#This Row],[Recall]]*(1/(Table3[[#This Row],[Precision]]+Table3[[#This Row],[Recall]]))</f>
        <v>0.88702716425488703</v>
      </c>
      <c r="G4" s="13">
        <f>SUM(R4:R33)</f>
        <v>3494</v>
      </c>
      <c r="H4" s="13">
        <f>SUM(S4:S33)</f>
        <v>726</v>
      </c>
      <c r="I4" s="13">
        <f>SUM(T4:T33)</f>
        <v>373</v>
      </c>
      <c r="J4" s="49">
        <f>SUM(U4:U33)</f>
        <v>164</v>
      </c>
      <c r="L4" s="10" t="s">
        <v>13</v>
      </c>
      <c r="M4" s="34" t="s">
        <v>14</v>
      </c>
      <c r="N4" s="34">
        <v>0.75061728395061733</v>
      </c>
      <c r="O4" s="34">
        <v>0.77929155313351495</v>
      </c>
      <c r="P4" s="34">
        <v>0.934640522875817</v>
      </c>
      <c r="Q4" s="34">
        <v>0.84992570579494797</v>
      </c>
      <c r="R4" s="34">
        <v>286</v>
      </c>
      <c r="S4" s="34">
        <v>81</v>
      </c>
      <c r="T4" s="34">
        <v>18</v>
      </c>
      <c r="U4" s="35">
        <v>20</v>
      </c>
    </row>
    <row r="5" spans="2:21">
      <c r="B5" s="47" t="s">
        <v>15</v>
      </c>
      <c r="C5" s="48">
        <f>SUM(Table3[[#This Row],[True Positive]],Table3[[#This Row],[True Negative]])/SUM(Table3[[#This Row],[True Positive]],Table3[[#This Row],[True Negative]],Table3[[#This Row],[False Positive]],Table3[[#This Row],[False Negative]])</f>
        <v>0.848309123270368</v>
      </c>
      <c r="D5" s="48">
        <f>Table3[[#This Row],[True Positive]]/(Table3[[#This Row],[True Positive]]+Table3[[#This Row],[False Positive]])</f>
        <v>0.88792187084772789</v>
      </c>
      <c r="E5" s="48">
        <f>Table3[[#This Row],[True Positive]]/(Table3[[#This Row],[True Positive]]+Table3[[#This Row],[False Negative]])</f>
        <v>0.93331005586592175</v>
      </c>
      <c r="F5" s="48">
        <f>2*Table3[[#This Row],[Precision]]*Table3[[#This Row],[Recall]]*(1/(Table3[[#This Row],[Precision]]+Table3[[#This Row],[Recall]]))</f>
        <v>0.9100503881247447</v>
      </c>
      <c r="G5" s="13">
        <f>SUM(R42:R58)</f>
        <v>13365</v>
      </c>
      <c r="H5" s="13">
        <f>SUM(S42:S58)</f>
        <v>1687</v>
      </c>
      <c r="I5" s="13">
        <f>SUM(T42:T58)</f>
        <v>1410</v>
      </c>
      <c r="J5" s="49">
        <f>SUM(U42:U58)</f>
        <v>955</v>
      </c>
      <c r="L5" s="11" t="s">
        <v>16</v>
      </c>
      <c r="M5" s="34" t="s">
        <v>17</v>
      </c>
      <c r="N5" s="34">
        <v>0.74342105263157898</v>
      </c>
      <c r="O5" s="34">
        <v>0.74637681159420288</v>
      </c>
      <c r="P5" s="34">
        <v>0.96261682242990654</v>
      </c>
      <c r="Q5" s="34">
        <v>0.84081632653061222</v>
      </c>
      <c r="R5" s="34">
        <v>103</v>
      </c>
      <c r="S5" s="34">
        <v>35</v>
      </c>
      <c r="T5" s="34">
        <v>10</v>
      </c>
      <c r="U5" s="35">
        <v>4</v>
      </c>
    </row>
    <row r="6" spans="2:21">
      <c r="B6" s="47" t="s">
        <v>18</v>
      </c>
      <c r="C6" s="48">
        <f>SUM(Table3[[#This Row],[True Positive]],Table3[[#This Row],[True Negative]])/SUM(Table3[[#This Row],[True Positive]],Table3[[#This Row],[True Negative]],Table3[[#This Row],[False Positive]],Table3[[#This Row],[False Negative]])</f>
        <v>0.93700000000000006</v>
      </c>
      <c r="D6" s="48">
        <f>Table3[[#This Row],[True Positive]]/(Table3[[#This Row],[True Positive]]+Table3[[#This Row],[False Positive]])</f>
        <v>0.95203713254254774</v>
      </c>
      <c r="E6" s="48">
        <f>Table3[[#This Row],[True Positive]]/(Table3[[#This Row],[True Positive]]+Table3[[#This Row],[False Negative]])</f>
        <v>0.98243746673762644</v>
      </c>
      <c r="F6" s="48">
        <f>2*Table3[[#This Row],[Precision]]*Table3[[#This Row],[Recall]]*(1/(Table3[[#This Row],[Precision]]+Table3[[#This Row],[Recall]]))</f>
        <v>0.96699842849659512</v>
      </c>
      <c r="G6" s="13">
        <f>SUM(R34:R41)</f>
        <v>1846</v>
      </c>
      <c r="H6" s="13">
        <f>SUM(S34:S41)</f>
        <v>93</v>
      </c>
      <c r="I6" s="13">
        <f>SUM(T34:T41)</f>
        <v>28</v>
      </c>
      <c r="J6" s="49">
        <f>SUM(U34:U41)</f>
        <v>33</v>
      </c>
      <c r="L6" s="10" t="s">
        <v>19</v>
      </c>
      <c r="M6" s="34" t="s">
        <v>20</v>
      </c>
      <c r="N6" s="34">
        <v>0.85994397759103647</v>
      </c>
      <c r="O6" s="34">
        <v>0.87334315169366716</v>
      </c>
      <c r="P6" s="34">
        <v>0.97693574958813834</v>
      </c>
      <c r="Q6" s="34">
        <v>0.92223950233281493</v>
      </c>
      <c r="R6" s="34">
        <v>593</v>
      </c>
      <c r="S6" s="34">
        <v>86</v>
      </c>
      <c r="T6" s="34">
        <v>21</v>
      </c>
      <c r="U6" s="35">
        <v>14</v>
      </c>
    </row>
    <row r="7" spans="2:21">
      <c r="B7" s="50" t="s">
        <v>21</v>
      </c>
      <c r="C7" s="51">
        <f>SUM(Table3[[#This Row],[True Positive]],Table3[[#This Row],[True Negative]])/SUM(Table3[[#This Row],[True Positive]],Table3[[#This Row],[True Negative]],Table3[[#This Row],[False Positive]],Table3[[#This Row],[False Negative]])</f>
        <v>0.85928143712574845</v>
      </c>
      <c r="D7" s="51">
        <f>Table3[[#This Row],[True Positive]]/(Table3[[#This Row],[True Positive]]+Table3[[#This Row],[False Positive]])</f>
        <v>0.92869269949066213</v>
      </c>
      <c r="E7" s="51">
        <f>Table3[[#This Row],[True Positive]]/(Table3[[#This Row],[True Positive]]+Table3[[#This Row],[False Negative]])</f>
        <v>0.91318864774624375</v>
      </c>
      <c r="F7" s="51">
        <f>2*Table3[[#This Row],[Precision]]*Table3[[#This Row],[Recall]]*(1/(Table3[[#This Row],[Precision]]+Table3[[#This Row],[Recall]]))</f>
        <v>0.92087542087542107</v>
      </c>
      <c r="G7" s="52">
        <f>SUM(R60)</f>
        <v>547</v>
      </c>
      <c r="H7" s="52">
        <f>SUM(S60)</f>
        <v>42</v>
      </c>
      <c r="I7" s="52">
        <f>SUM(T60)</f>
        <v>27</v>
      </c>
      <c r="J7" s="53">
        <f>SUM(U60)</f>
        <v>52</v>
      </c>
      <c r="L7" s="11" t="s">
        <v>22</v>
      </c>
      <c r="M7" s="34" t="s">
        <v>23</v>
      </c>
      <c r="N7" s="34">
        <v>0.79550102249488752</v>
      </c>
      <c r="O7" s="34">
        <v>0.8288888888888889</v>
      </c>
      <c r="P7" s="34">
        <v>0.94191919191919193</v>
      </c>
      <c r="Q7" s="34">
        <v>0.88179669030732866</v>
      </c>
      <c r="R7" s="34">
        <v>373</v>
      </c>
      <c r="S7" s="34">
        <v>77</v>
      </c>
      <c r="T7" s="34">
        <v>16</v>
      </c>
      <c r="U7" s="35">
        <v>23</v>
      </c>
    </row>
    <row r="8" spans="2:21">
      <c r="L8" s="10" t="s">
        <v>24</v>
      </c>
      <c r="M8" s="34" t="s">
        <v>25</v>
      </c>
      <c r="N8" s="34">
        <v>0.87295081967213117</v>
      </c>
      <c r="O8" s="34">
        <v>0.88391608391608389</v>
      </c>
      <c r="P8" s="34">
        <v>0.98442367601246106</v>
      </c>
      <c r="Q8" s="34">
        <v>0.93146647015475315</v>
      </c>
      <c r="R8" s="34">
        <v>632</v>
      </c>
      <c r="S8" s="34">
        <v>83</v>
      </c>
      <c r="T8" s="34">
        <v>7</v>
      </c>
      <c r="U8" s="35">
        <v>10</v>
      </c>
    </row>
    <row r="9" spans="2:21">
      <c r="L9" s="11" t="s">
        <v>26</v>
      </c>
      <c r="M9" s="34" t="s">
        <v>27</v>
      </c>
      <c r="N9" s="34">
        <v>0.74209245742092456</v>
      </c>
      <c r="O9" s="34">
        <v>0.75331564986737398</v>
      </c>
      <c r="P9" s="34">
        <v>0.95622895622895621</v>
      </c>
      <c r="Q9" s="34">
        <v>0.84272997032640939</v>
      </c>
      <c r="R9" s="34">
        <v>284</v>
      </c>
      <c r="S9" s="34">
        <v>93</v>
      </c>
      <c r="T9" s="34">
        <v>21</v>
      </c>
      <c r="U9" s="35">
        <v>13</v>
      </c>
    </row>
    <row r="10" spans="2:21">
      <c r="L10" s="10" t="s">
        <v>28</v>
      </c>
      <c r="M10" s="34" t="s">
        <v>29</v>
      </c>
      <c r="N10" s="34">
        <v>0.98630136986301364</v>
      </c>
      <c r="O10" s="34">
        <v>0.98630136986301364</v>
      </c>
      <c r="P10" s="34">
        <v>1</v>
      </c>
      <c r="Q10" s="34">
        <v>0.99310344827586206</v>
      </c>
      <c r="R10" s="34">
        <v>72</v>
      </c>
      <c r="S10" s="34">
        <v>1</v>
      </c>
      <c r="T10" s="34">
        <v>0</v>
      </c>
      <c r="U10" s="35">
        <v>0</v>
      </c>
    </row>
    <row r="11" spans="2:21">
      <c r="L11" s="11" t="s">
        <v>30</v>
      </c>
      <c r="M11" s="34" t="s">
        <v>31</v>
      </c>
      <c r="N11" s="34">
        <v>0.81912144702842382</v>
      </c>
      <c r="O11" s="34">
        <v>0.82768361581920902</v>
      </c>
      <c r="P11" s="34">
        <v>0.9701986754966887</v>
      </c>
      <c r="Q11" s="34">
        <v>0.89329268292682928</v>
      </c>
      <c r="R11" s="34">
        <v>293</v>
      </c>
      <c r="S11" s="34">
        <v>61</v>
      </c>
      <c r="T11" s="34">
        <v>24</v>
      </c>
      <c r="U11" s="35">
        <v>9</v>
      </c>
    </row>
    <row r="12" spans="2:21">
      <c r="B12" t="s">
        <v>2</v>
      </c>
      <c r="C12" t="s">
        <v>32</v>
      </c>
      <c r="L12" s="10" t="s">
        <v>33</v>
      </c>
      <c r="M12" s="34" t="s">
        <v>34</v>
      </c>
      <c r="N12" s="34">
        <v>0.72727272727272729</v>
      </c>
      <c r="O12" s="34">
        <v>0.72727272727272729</v>
      </c>
      <c r="P12" s="34">
        <v>1</v>
      </c>
      <c r="Q12" s="34">
        <v>0.8421052631578948</v>
      </c>
      <c r="R12" s="34">
        <v>16</v>
      </c>
      <c r="S12" s="34">
        <v>6</v>
      </c>
      <c r="T12" s="34">
        <v>0</v>
      </c>
      <c r="U12" s="35">
        <v>0</v>
      </c>
    </row>
    <row r="13" spans="2:21">
      <c r="L13" s="11" t="s">
        <v>35</v>
      </c>
      <c r="M13" s="34" t="s">
        <v>36</v>
      </c>
      <c r="N13" s="34">
        <v>0.81904761904761902</v>
      </c>
      <c r="O13" s="34">
        <v>0.81372549019607843</v>
      </c>
      <c r="P13" s="34">
        <v>1</v>
      </c>
      <c r="Q13" s="34">
        <v>0.89729729729729735</v>
      </c>
      <c r="R13" s="34">
        <v>83</v>
      </c>
      <c r="S13" s="34">
        <v>19</v>
      </c>
      <c r="T13" s="34">
        <v>3</v>
      </c>
      <c r="U13" s="35">
        <v>0</v>
      </c>
    </row>
    <row r="14" spans="2:21">
      <c r="B14" t="s">
        <v>3</v>
      </c>
      <c r="C14" t="s">
        <v>37</v>
      </c>
      <c r="L14" s="10" t="s">
        <v>38</v>
      </c>
      <c r="M14" s="34" t="s">
        <v>39</v>
      </c>
      <c r="N14" s="34">
        <v>0.91089108910891092</v>
      </c>
      <c r="O14" s="34">
        <v>0.92820512820512824</v>
      </c>
      <c r="P14" s="34">
        <v>0.97837837837837838</v>
      </c>
      <c r="Q14" s="34">
        <v>0.95263157894736838</v>
      </c>
      <c r="R14" s="34">
        <v>181</v>
      </c>
      <c r="S14" s="34">
        <v>14</v>
      </c>
      <c r="T14" s="34">
        <v>3</v>
      </c>
      <c r="U14" s="35">
        <v>4</v>
      </c>
    </row>
    <row r="15" spans="2:21">
      <c r="L15" s="11" t="s">
        <v>40</v>
      </c>
      <c r="M15" s="34" t="s">
        <v>41</v>
      </c>
      <c r="N15" s="34">
        <v>0.86633663366336633</v>
      </c>
      <c r="O15" s="34">
        <v>0.89690721649484539</v>
      </c>
      <c r="P15" s="34">
        <v>0.96132596685082872</v>
      </c>
      <c r="Q15" s="34">
        <v>0.92800000000000016</v>
      </c>
      <c r="R15" s="34">
        <v>174</v>
      </c>
      <c r="S15" s="34">
        <v>20</v>
      </c>
      <c r="T15" s="34">
        <v>1</v>
      </c>
      <c r="U15" s="35">
        <v>7</v>
      </c>
    </row>
    <row r="16" spans="2:21">
      <c r="B16" t="s">
        <v>4</v>
      </c>
      <c r="C16" t="s">
        <v>42</v>
      </c>
      <c r="L16" s="10" t="s">
        <v>43</v>
      </c>
      <c r="M16" s="34" t="s">
        <v>44</v>
      </c>
      <c r="N16" s="34">
        <v>0.61904761904761907</v>
      </c>
      <c r="O16" s="34">
        <v>0.59459459459459463</v>
      </c>
      <c r="P16" s="34">
        <v>0.95652173913043481</v>
      </c>
      <c r="Q16" s="34">
        <v>0.73333333333333339</v>
      </c>
      <c r="R16" s="34">
        <v>44</v>
      </c>
      <c r="S16" s="34">
        <v>30</v>
      </c>
      <c r="T16" s="34">
        <v>8</v>
      </c>
      <c r="U16" s="35">
        <v>2</v>
      </c>
    </row>
    <row r="17" spans="2:21">
      <c r="L17" s="11" t="s">
        <v>45</v>
      </c>
      <c r="M17" s="34" t="s">
        <v>46</v>
      </c>
      <c r="N17" s="34">
        <v>0.92592592592592593</v>
      </c>
      <c r="O17" s="34">
        <v>0.96153846153846156</v>
      </c>
      <c r="P17" s="34">
        <v>0.96153846153846156</v>
      </c>
      <c r="Q17" s="34">
        <v>0.96153846153846156</v>
      </c>
      <c r="R17" s="34">
        <v>25</v>
      </c>
      <c r="S17" s="34">
        <v>1</v>
      </c>
      <c r="T17" s="34">
        <v>0</v>
      </c>
      <c r="U17" s="35">
        <v>1</v>
      </c>
    </row>
    <row r="18" spans="2:21">
      <c r="B18" t="s">
        <v>5</v>
      </c>
      <c r="C18" t="s">
        <v>47</v>
      </c>
      <c r="L18" s="10" t="s">
        <v>48</v>
      </c>
      <c r="M18" s="34" t="s">
        <v>49</v>
      </c>
      <c r="N18" s="34">
        <v>0.81818181818181823</v>
      </c>
      <c r="O18" s="34">
        <v>0.84848484848484851</v>
      </c>
      <c r="P18" s="34">
        <v>0.90322580645161288</v>
      </c>
      <c r="Q18" s="34">
        <v>0.875</v>
      </c>
      <c r="R18" s="34">
        <v>28</v>
      </c>
      <c r="S18" s="34">
        <v>5</v>
      </c>
      <c r="T18" s="34">
        <v>8</v>
      </c>
      <c r="U18" s="35">
        <v>3</v>
      </c>
    </row>
    <row r="19" spans="2:21">
      <c r="L19" s="11" t="s">
        <v>50</v>
      </c>
      <c r="M19" s="34" t="s">
        <v>51</v>
      </c>
      <c r="N19" s="34">
        <v>0.84848484848484851</v>
      </c>
      <c r="O19" s="34">
        <v>0.84848484848484851</v>
      </c>
      <c r="P19" s="34">
        <v>1</v>
      </c>
      <c r="Q19" s="34">
        <v>0.91803278688524581</v>
      </c>
      <c r="R19" s="34">
        <v>84</v>
      </c>
      <c r="S19" s="34">
        <v>15</v>
      </c>
      <c r="T19" s="34">
        <v>0</v>
      </c>
      <c r="U19" s="35">
        <v>0</v>
      </c>
    </row>
    <row r="20" spans="2:21">
      <c r="L20" s="10" t="s">
        <v>52</v>
      </c>
      <c r="M20" s="34" t="s">
        <v>53</v>
      </c>
      <c r="N20" s="34">
        <v>0.5</v>
      </c>
      <c r="O20" s="34">
        <v>0.5</v>
      </c>
      <c r="P20" s="34">
        <v>1</v>
      </c>
      <c r="Q20" s="34">
        <v>0.66666666666666663</v>
      </c>
      <c r="R20" s="34">
        <v>1</v>
      </c>
      <c r="S20" s="34">
        <v>1</v>
      </c>
      <c r="T20" s="34">
        <v>0</v>
      </c>
      <c r="U20" s="35">
        <v>0</v>
      </c>
    </row>
    <row r="21" spans="2:21">
      <c r="L21" s="10" t="s">
        <v>54</v>
      </c>
      <c r="M21" s="34" t="s">
        <v>55</v>
      </c>
      <c r="N21" s="34">
        <v>0.95081967213114749</v>
      </c>
      <c r="O21" s="34">
        <v>1</v>
      </c>
      <c r="P21" s="34">
        <v>0.25</v>
      </c>
      <c r="Q21" s="34">
        <v>0.4</v>
      </c>
      <c r="R21" s="34">
        <v>1</v>
      </c>
      <c r="S21" s="34">
        <v>0</v>
      </c>
      <c r="T21" s="34">
        <v>57</v>
      </c>
      <c r="U21" s="35">
        <v>3</v>
      </c>
    </row>
    <row r="22" spans="2:21">
      <c r="L22" s="11" t="s">
        <v>56</v>
      </c>
      <c r="M22" s="34" t="s">
        <v>57</v>
      </c>
      <c r="N22" s="34">
        <v>0.5</v>
      </c>
      <c r="O22" s="34">
        <v>0</v>
      </c>
      <c r="P22" s="34">
        <v>0</v>
      </c>
      <c r="Q22" s="34">
        <v>0</v>
      </c>
      <c r="R22" s="34">
        <v>0</v>
      </c>
      <c r="S22" s="34">
        <v>0</v>
      </c>
      <c r="T22" s="34">
        <v>1</v>
      </c>
      <c r="U22" s="35">
        <v>1</v>
      </c>
    </row>
    <row r="23" spans="2:21">
      <c r="L23" s="10" t="s">
        <v>58</v>
      </c>
      <c r="M23" s="34" t="s">
        <v>59</v>
      </c>
      <c r="N23" s="34">
        <v>0.73015873015873012</v>
      </c>
      <c r="O23" s="34">
        <v>0.58333333333333337</v>
      </c>
      <c r="P23" s="34">
        <v>0.36842105263157893</v>
      </c>
      <c r="Q23" s="34">
        <v>0.45161290322580649</v>
      </c>
      <c r="R23" s="34">
        <v>7</v>
      </c>
      <c r="S23" s="34">
        <v>5</v>
      </c>
      <c r="T23" s="34">
        <v>39</v>
      </c>
      <c r="U23" s="35">
        <v>12</v>
      </c>
    </row>
    <row r="24" spans="2:21">
      <c r="L24" s="11" t="s">
        <v>60</v>
      </c>
      <c r="M24" s="34" t="s">
        <v>61</v>
      </c>
      <c r="N24" s="34">
        <v>0.69230769230769229</v>
      </c>
      <c r="O24" s="34">
        <v>0.6</v>
      </c>
      <c r="P24" s="34">
        <v>0.45454545454545447</v>
      </c>
      <c r="Q24" s="34">
        <v>0.51724137931034486</v>
      </c>
      <c r="R24" s="34">
        <v>15</v>
      </c>
      <c r="S24" s="34">
        <v>10</v>
      </c>
      <c r="T24" s="34">
        <v>48</v>
      </c>
      <c r="U24" s="35">
        <v>18</v>
      </c>
    </row>
    <row r="25" spans="2:21">
      <c r="L25" s="10" t="s">
        <v>62</v>
      </c>
      <c r="M25" s="34" t="s">
        <v>63</v>
      </c>
      <c r="N25" s="34">
        <v>0.77564102564102566</v>
      </c>
      <c r="O25" s="34">
        <v>0.7</v>
      </c>
      <c r="P25" s="34">
        <v>0.88732394366197187</v>
      </c>
      <c r="Q25" s="34">
        <v>0.78260869565217395</v>
      </c>
      <c r="R25" s="34">
        <v>63</v>
      </c>
      <c r="S25" s="34">
        <v>27</v>
      </c>
      <c r="T25" s="34">
        <v>58</v>
      </c>
      <c r="U25" s="35">
        <v>8</v>
      </c>
    </row>
    <row r="26" spans="2:21">
      <c r="L26" s="11" t="s">
        <v>64</v>
      </c>
      <c r="M26" s="34" t="s">
        <v>65</v>
      </c>
      <c r="N26" s="34">
        <v>1</v>
      </c>
      <c r="O26" s="34">
        <v>1</v>
      </c>
      <c r="P26" s="34">
        <v>1</v>
      </c>
      <c r="Q26" s="34">
        <v>1</v>
      </c>
      <c r="R26" s="34">
        <v>1</v>
      </c>
      <c r="S26" s="34">
        <v>0</v>
      </c>
      <c r="T26" s="34">
        <v>9</v>
      </c>
      <c r="U26" s="35">
        <v>0</v>
      </c>
    </row>
    <row r="27" spans="2:21">
      <c r="L27" s="10" t="s">
        <v>66</v>
      </c>
      <c r="M27" s="34" t="s">
        <v>67</v>
      </c>
      <c r="N27" s="34">
        <v>0.5714285714285714</v>
      </c>
      <c r="O27" s="34">
        <v>0.33333333333333331</v>
      </c>
      <c r="P27" s="34">
        <v>0.125</v>
      </c>
      <c r="Q27" s="34">
        <v>0.1818181818181818</v>
      </c>
      <c r="R27" s="34">
        <v>1</v>
      </c>
      <c r="S27" s="34">
        <v>2</v>
      </c>
      <c r="T27" s="34">
        <v>11</v>
      </c>
      <c r="U27" s="35">
        <v>7</v>
      </c>
    </row>
    <row r="28" spans="2:21">
      <c r="L28" s="11" t="s">
        <v>68</v>
      </c>
      <c r="M28" s="34" t="s">
        <v>69</v>
      </c>
      <c r="N28" s="34">
        <v>0.55555555555555558</v>
      </c>
      <c r="O28" s="34">
        <v>0</v>
      </c>
      <c r="P28" s="34">
        <v>0</v>
      </c>
      <c r="Q28" s="34">
        <v>0</v>
      </c>
      <c r="R28" s="34">
        <v>0</v>
      </c>
      <c r="S28" s="34">
        <v>1</v>
      </c>
      <c r="T28" s="34">
        <v>5</v>
      </c>
      <c r="U28" s="35">
        <v>3</v>
      </c>
    </row>
    <row r="29" spans="2:21">
      <c r="L29" s="10" t="s">
        <v>70</v>
      </c>
      <c r="M29" s="34" t="s">
        <v>71</v>
      </c>
      <c r="N29" s="34">
        <v>1</v>
      </c>
      <c r="O29" s="34">
        <v>1</v>
      </c>
      <c r="P29" s="34">
        <v>1</v>
      </c>
      <c r="Q29" s="34">
        <v>1</v>
      </c>
      <c r="R29" s="34">
        <v>1</v>
      </c>
      <c r="S29" s="34">
        <v>0</v>
      </c>
      <c r="T29" s="34">
        <v>0</v>
      </c>
      <c r="U29" s="35">
        <v>0</v>
      </c>
    </row>
    <row r="30" spans="2:21">
      <c r="L30" s="11" t="s">
        <v>72</v>
      </c>
      <c r="M30" s="34" t="s">
        <v>73</v>
      </c>
      <c r="N30" s="34">
        <v>0.6</v>
      </c>
      <c r="O30" s="34">
        <v>0.5</v>
      </c>
      <c r="P30" s="34">
        <v>1</v>
      </c>
      <c r="Q30" s="34">
        <v>0.66666666666666663</v>
      </c>
      <c r="R30" s="34">
        <v>2</v>
      </c>
      <c r="S30" s="34">
        <v>2</v>
      </c>
      <c r="T30" s="34">
        <v>1</v>
      </c>
      <c r="U30" s="35">
        <v>0</v>
      </c>
    </row>
    <row r="31" spans="2:21">
      <c r="L31" s="10" t="s">
        <v>74</v>
      </c>
      <c r="M31" s="34" t="s">
        <v>71</v>
      </c>
      <c r="N31" s="34">
        <v>1</v>
      </c>
      <c r="O31" s="34">
        <v>0</v>
      </c>
      <c r="P31" s="34">
        <v>0</v>
      </c>
      <c r="Q31" s="34">
        <v>0</v>
      </c>
      <c r="R31" s="34">
        <v>1</v>
      </c>
      <c r="S31" s="34">
        <v>0</v>
      </c>
      <c r="T31" s="34">
        <v>0</v>
      </c>
      <c r="U31" s="35">
        <v>0</v>
      </c>
    </row>
    <row r="32" spans="2:21">
      <c r="L32" s="11" t="s">
        <v>75</v>
      </c>
      <c r="M32" s="34" t="s">
        <v>76</v>
      </c>
      <c r="N32" s="34">
        <v>0.72832369942196529</v>
      </c>
      <c r="O32" s="34">
        <v>0.73053892215568861</v>
      </c>
      <c r="P32" s="34">
        <v>0.9838709677419355</v>
      </c>
      <c r="Q32" s="34">
        <v>0.83848797250859108</v>
      </c>
      <c r="R32" s="34">
        <v>122</v>
      </c>
      <c r="S32" s="34">
        <v>45</v>
      </c>
      <c r="T32" s="34">
        <v>4</v>
      </c>
      <c r="U32" s="35">
        <v>2</v>
      </c>
    </row>
    <row r="33" spans="12:21">
      <c r="L33" s="10" t="s">
        <v>77</v>
      </c>
      <c r="M33" s="34" t="s">
        <v>78</v>
      </c>
      <c r="N33" s="34">
        <v>0.5714285714285714</v>
      </c>
      <c r="O33" s="34">
        <v>0.5714285714285714</v>
      </c>
      <c r="P33" s="34">
        <v>1</v>
      </c>
      <c r="Q33" s="34">
        <v>0.72727272727272729</v>
      </c>
      <c r="R33" s="34">
        <v>8</v>
      </c>
      <c r="S33" s="34">
        <v>6</v>
      </c>
      <c r="T33" s="34">
        <v>0</v>
      </c>
      <c r="U33" s="35">
        <v>0</v>
      </c>
    </row>
    <row r="34" spans="12:21">
      <c r="L34" s="11" t="s">
        <v>79</v>
      </c>
      <c r="M34" s="34" t="s">
        <v>80</v>
      </c>
      <c r="N34" s="34">
        <v>0.97047970479704793</v>
      </c>
      <c r="O34" s="34">
        <v>0.97769516728624539</v>
      </c>
      <c r="P34" s="34">
        <v>0.99245283018867925</v>
      </c>
      <c r="Q34" s="34">
        <v>0.98501872659176026</v>
      </c>
      <c r="R34" s="34">
        <v>263</v>
      </c>
      <c r="S34" s="34">
        <v>6</v>
      </c>
      <c r="T34" s="34">
        <v>0</v>
      </c>
      <c r="U34" s="35">
        <v>2</v>
      </c>
    </row>
    <row r="35" spans="12:21">
      <c r="L35" s="10" t="s">
        <v>81</v>
      </c>
      <c r="M35" s="34" t="s">
        <v>82</v>
      </c>
      <c r="N35" s="34">
        <v>0.86175115207373276</v>
      </c>
      <c r="O35" s="34">
        <v>0.89054726368159209</v>
      </c>
      <c r="P35" s="34">
        <v>0.95721925133689845</v>
      </c>
      <c r="Q35" s="34">
        <v>0.92268041237113407</v>
      </c>
      <c r="R35" s="34">
        <v>179</v>
      </c>
      <c r="S35" s="34">
        <v>22</v>
      </c>
      <c r="T35" s="34">
        <v>8</v>
      </c>
      <c r="U35" s="35">
        <v>8</v>
      </c>
    </row>
    <row r="36" spans="12:21">
      <c r="L36" s="11" t="s">
        <v>83</v>
      </c>
      <c r="M36" s="34" t="s">
        <v>84</v>
      </c>
      <c r="N36" s="34">
        <v>0.94927536231884058</v>
      </c>
      <c r="O36" s="34">
        <v>0.96969696969696972</v>
      </c>
      <c r="P36" s="34">
        <v>0.97709923664122134</v>
      </c>
      <c r="Q36" s="34">
        <v>0.97338403041825106</v>
      </c>
      <c r="R36" s="34">
        <v>128</v>
      </c>
      <c r="S36" s="34">
        <v>4</v>
      </c>
      <c r="T36" s="34">
        <v>3</v>
      </c>
      <c r="U36" s="35">
        <v>3</v>
      </c>
    </row>
    <row r="37" spans="12:21">
      <c r="L37" s="10" t="s">
        <v>85</v>
      </c>
      <c r="M37" s="34" t="s">
        <v>86</v>
      </c>
      <c r="N37" s="34">
        <v>0.96046511627906972</v>
      </c>
      <c r="O37" s="34">
        <v>0.964622641509434</v>
      </c>
      <c r="P37" s="34">
        <v>0.99513381995133821</v>
      </c>
      <c r="Q37" s="34">
        <v>0.97964071856287427</v>
      </c>
      <c r="R37" s="34">
        <v>409</v>
      </c>
      <c r="S37" s="34">
        <v>15</v>
      </c>
      <c r="T37" s="34">
        <v>4</v>
      </c>
      <c r="U37" s="35">
        <v>2</v>
      </c>
    </row>
    <row r="38" spans="12:21">
      <c r="L38" s="11" t="s">
        <v>87</v>
      </c>
      <c r="M38" s="34" t="s">
        <v>88</v>
      </c>
      <c r="N38" s="34">
        <v>0.9579349904397706</v>
      </c>
      <c r="O38" s="34">
        <v>0.96893203883495149</v>
      </c>
      <c r="P38" s="34">
        <v>0.98811881188118811</v>
      </c>
      <c r="Q38" s="34">
        <v>0.97843137254901957</v>
      </c>
      <c r="R38" s="34">
        <v>499</v>
      </c>
      <c r="S38" s="34">
        <v>16</v>
      </c>
      <c r="T38" s="34">
        <v>2</v>
      </c>
      <c r="U38" s="35">
        <v>6</v>
      </c>
    </row>
    <row r="39" spans="12:21">
      <c r="L39" s="10" t="s">
        <v>89</v>
      </c>
      <c r="M39" s="34" t="s">
        <v>90</v>
      </c>
      <c r="N39" s="34">
        <v>0.83620689655172409</v>
      </c>
      <c r="O39" s="34">
        <v>0.90721649484536082</v>
      </c>
      <c r="P39" s="34">
        <v>0.89795918367346939</v>
      </c>
      <c r="Q39" s="34">
        <v>0.90256410256410258</v>
      </c>
      <c r="R39" s="34">
        <v>88</v>
      </c>
      <c r="S39" s="34">
        <v>9</v>
      </c>
      <c r="T39" s="34">
        <v>9</v>
      </c>
      <c r="U39" s="35">
        <v>10</v>
      </c>
    </row>
    <row r="40" spans="12:21">
      <c r="L40" s="11" t="s">
        <v>91</v>
      </c>
      <c r="M40" s="34" t="s">
        <v>92</v>
      </c>
      <c r="N40" s="34">
        <v>0.9668874172185431</v>
      </c>
      <c r="O40" s="34">
        <v>0.96666666666666667</v>
      </c>
      <c r="P40" s="34">
        <v>1</v>
      </c>
      <c r="Q40" s="34">
        <v>0.98305084745762705</v>
      </c>
      <c r="R40" s="34">
        <v>145</v>
      </c>
      <c r="S40" s="34">
        <v>5</v>
      </c>
      <c r="T40" s="34">
        <v>1</v>
      </c>
      <c r="U40" s="35">
        <v>0</v>
      </c>
    </row>
    <row r="41" spans="12:21">
      <c r="L41" s="10" t="s">
        <v>93</v>
      </c>
      <c r="M41" s="34" t="s">
        <v>94</v>
      </c>
      <c r="N41" s="34">
        <v>0.88311688311688308</v>
      </c>
      <c r="O41" s="34">
        <v>0.89403973509933776</v>
      </c>
      <c r="P41" s="34">
        <v>0.98540145985401462</v>
      </c>
      <c r="Q41" s="34">
        <v>0.93749999999999989</v>
      </c>
      <c r="R41" s="34">
        <v>135</v>
      </c>
      <c r="S41" s="34">
        <v>16</v>
      </c>
      <c r="T41" s="34">
        <v>1</v>
      </c>
      <c r="U41" s="35">
        <v>2</v>
      </c>
    </row>
    <row r="42" spans="12:21">
      <c r="L42" s="11" t="s">
        <v>95</v>
      </c>
      <c r="M42" s="34" t="s">
        <v>96</v>
      </c>
      <c r="N42" s="34">
        <v>0.84168281206753393</v>
      </c>
      <c r="O42" s="34">
        <v>0.89170432537120725</v>
      </c>
      <c r="P42" s="34">
        <v>0.92114038012670896</v>
      </c>
      <c r="Q42" s="34">
        <v>0.90618336886993611</v>
      </c>
      <c r="R42" s="34">
        <v>5525</v>
      </c>
      <c r="S42" s="34">
        <v>671</v>
      </c>
      <c r="T42" s="34">
        <v>557</v>
      </c>
      <c r="U42" s="35">
        <v>473</v>
      </c>
    </row>
    <row r="43" spans="12:21">
      <c r="L43" s="10" t="s">
        <v>97</v>
      </c>
      <c r="M43" s="34" t="s">
        <v>98</v>
      </c>
      <c r="N43" s="34">
        <v>0.88724944320712695</v>
      </c>
      <c r="O43" s="34">
        <v>0.91783750763591931</v>
      </c>
      <c r="P43" s="34">
        <v>0.95670168736071315</v>
      </c>
      <c r="Q43" s="34">
        <v>0.93686671862821513</v>
      </c>
      <c r="R43" s="34">
        <v>3005</v>
      </c>
      <c r="S43" s="34">
        <v>269</v>
      </c>
      <c r="T43" s="34">
        <v>182</v>
      </c>
      <c r="U43" s="35">
        <v>136</v>
      </c>
    </row>
    <row r="44" spans="12:21">
      <c r="L44" s="11" t="s">
        <v>99</v>
      </c>
      <c r="M44" s="34" t="s">
        <v>100</v>
      </c>
      <c r="N44" s="34">
        <v>0.86159973448390303</v>
      </c>
      <c r="O44" s="34">
        <v>0.90460405156537749</v>
      </c>
      <c r="P44" s="34">
        <v>0.9395562356541699</v>
      </c>
      <c r="Q44" s="34">
        <v>0.92174892099831118</v>
      </c>
      <c r="R44" s="34">
        <v>2456</v>
      </c>
      <c r="S44" s="34">
        <v>259</v>
      </c>
      <c r="T44" s="34">
        <v>140</v>
      </c>
      <c r="U44" s="35">
        <v>158</v>
      </c>
    </row>
    <row r="45" spans="12:21">
      <c r="L45" s="10" t="s">
        <v>101</v>
      </c>
      <c r="M45" s="34" t="s">
        <v>102</v>
      </c>
      <c r="N45" s="34">
        <v>0.875</v>
      </c>
      <c r="O45" s="34">
        <v>0.89876543209876547</v>
      </c>
      <c r="P45" s="34">
        <v>0.96296296296296291</v>
      </c>
      <c r="Q45" s="34">
        <v>0.92975734355044704</v>
      </c>
      <c r="R45" s="34">
        <v>364</v>
      </c>
      <c r="S45" s="34">
        <v>41</v>
      </c>
      <c r="T45" s="34">
        <v>21</v>
      </c>
      <c r="U45" s="35">
        <v>14</v>
      </c>
    </row>
    <row r="46" spans="12:21">
      <c r="L46" s="11" t="s">
        <v>103</v>
      </c>
      <c r="M46" s="34" t="s">
        <v>104</v>
      </c>
      <c r="N46" s="34">
        <v>0.83793517406962781</v>
      </c>
      <c r="O46" s="34">
        <v>0.86827956989247312</v>
      </c>
      <c r="P46" s="34">
        <v>0.94582723279648606</v>
      </c>
      <c r="Q46" s="34">
        <v>0.90539593552908204</v>
      </c>
      <c r="R46" s="34">
        <v>646</v>
      </c>
      <c r="S46" s="34">
        <v>98</v>
      </c>
      <c r="T46" s="34">
        <v>52</v>
      </c>
      <c r="U46" s="35">
        <v>37</v>
      </c>
    </row>
    <row r="47" spans="12:21">
      <c r="L47" s="10" t="s">
        <v>105</v>
      </c>
      <c r="M47" s="34" t="s">
        <v>106</v>
      </c>
      <c r="N47" s="34">
        <v>0.8188405797101449</v>
      </c>
      <c r="O47" s="34">
        <v>0.84799999999999998</v>
      </c>
      <c r="P47" s="34">
        <v>0.9464285714285714</v>
      </c>
      <c r="Q47" s="34">
        <v>0.8945147679324893</v>
      </c>
      <c r="R47" s="34">
        <v>106</v>
      </c>
      <c r="S47" s="34">
        <v>19</v>
      </c>
      <c r="T47" s="34">
        <v>7</v>
      </c>
      <c r="U47" s="35">
        <v>6</v>
      </c>
    </row>
    <row r="48" spans="12:21">
      <c r="L48" s="11" t="s">
        <v>107</v>
      </c>
      <c r="M48" s="34" t="s">
        <v>108</v>
      </c>
      <c r="N48" s="34">
        <v>0.87127659574468086</v>
      </c>
      <c r="O48" s="34">
        <v>0.89858490566037741</v>
      </c>
      <c r="P48" s="34">
        <v>0.95608531994981183</v>
      </c>
      <c r="Q48" s="34">
        <v>0.92644376899696057</v>
      </c>
      <c r="R48" s="34">
        <v>762</v>
      </c>
      <c r="S48" s="34">
        <v>86</v>
      </c>
      <c r="T48" s="34">
        <v>57</v>
      </c>
      <c r="U48" s="35">
        <v>35</v>
      </c>
    </row>
    <row r="49" spans="12:21">
      <c r="L49" s="10" t="s">
        <v>109</v>
      </c>
      <c r="M49" s="34" t="s">
        <v>110</v>
      </c>
      <c r="N49" s="34">
        <v>0.67001675041876052</v>
      </c>
      <c r="O49" s="34">
        <v>0.7341513292433538</v>
      </c>
      <c r="P49" s="34">
        <v>0.84272300469483563</v>
      </c>
      <c r="Q49" s="34">
        <v>0.78469945355191262</v>
      </c>
      <c r="R49" s="34">
        <v>359</v>
      </c>
      <c r="S49" s="34">
        <v>130</v>
      </c>
      <c r="T49" s="34">
        <v>41</v>
      </c>
      <c r="U49" s="35">
        <v>67</v>
      </c>
    </row>
    <row r="50" spans="12:21">
      <c r="L50" s="11" t="s">
        <v>111</v>
      </c>
      <c r="M50" s="34" t="s">
        <v>112</v>
      </c>
      <c r="N50" s="34">
        <v>0.82634730538922152</v>
      </c>
      <c r="O50" s="34">
        <v>0.84516129032258069</v>
      </c>
      <c r="P50" s="34">
        <v>0.96323529411764708</v>
      </c>
      <c r="Q50" s="34">
        <v>0.90034364261168387</v>
      </c>
      <c r="R50" s="34">
        <v>131</v>
      </c>
      <c r="S50" s="34">
        <v>24</v>
      </c>
      <c r="T50" s="34">
        <v>7</v>
      </c>
      <c r="U50" s="35">
        <v>5</v>
      </c>
    </row>
    <row r="51" spans="12:21">
      <c r="L51" s="10" t="s">
        <v>113</v>
      </c>
      <c r="M51" s="34" t="s">
        <v>114</v>
      </c>
      <c r="N51" s="34">
        <v>0.44444444444444442</v>
      </c>
      <c r="O51" s="34">
        <v>0.44444444444444442</v>
      </c>
      <c r="P51" s="34">
        <v>1</v>
      </c>
      <c r="Q51" s="34">
        <v>0.61538461538461531</v>
      </c>
      <c r="R51" s="34">
        <v>4</v>
      </c>
      <c r="S51" s="34">
        <v>5</v>
      </c>
      <c r="T51" s="34">
        <v>0</v>
      </c>
      <c r="U51" s="35">
        <v>0</v>
      </c>
    </row>
    <row r="52" spans="12:21">
      <c r="L52" s="11" t="s">
        <v>115</v>
      </c>
      <c r="M52" s="34" t="s">
        <v>116</v>
      </c>
      <c r="N52" s="34">
        <v>0.54</v>
      </c>
      <c r="O52" s="34">
        <v>8.3333333333333329E-2</v>
      </c>
      <c r="P52" s="34">
        <v>0.66666666666666663</v>
      </c>
      <c r="Q52" s="34">
        <v>0.14814814814814811</v>
      </c>
      <c r="R52" s="34">
        <v>2</v>
      </c>
      <c r="S52" s="34">
        <v>22</v>
      </c>
      <c r="T52" s="34">
        <v>25</v>
      </c>
      <c r="U52" s="35">
        <v>1</v>
      </c>
    </row>
    <row r="53" spans="12:21">
      <c r="L53" s="10" t="s">
        <v>117</v>
      </c>
      <c r="M53" s="34" t="s">
        <v>118</v>
      </c>
      <c r="N53" s="34">
        <v>0.63157894736842102</v>
      </c>
      <c r="O53" s="34">
        <v>0.1111111111111111</v>
      </c>
      <c r="P53" s="34">
        <v>0.2857142857142857</v>
      </c>
      <c r="Q53" s="34">
        <v>0.16</v>
      </c>
      <c r="R53" s="34">
        <v>2</v>
      </c>
      <c r="S53" s="34">
        <v>16</v>
      </c>
      <c r="T53" s="34">
        <v>34</v>
      </c>
      <c r="U53" s="35">
        <v>5</v>
      </c>
    </row>
    <row r="54" spans="12:21">
      <c r="L54" s="11" t="s">
        <v>119</v>
      </c>
      <c r="M54" s="34" t="s">
        <v>120</v>
      </c>
      <c r="N54" s="34">
        <v>0.86784140969162993</v>
      </c>
      <c r="O54" s="34">
        <v>0</v>
      </c>
      <c r="P54" s="34">
        <v>0</v>
      </c>
      <c r="Q54" s="34">
        <v>0</v>
      </c>
      <c r="R54" s="34">
        <v>0</v>
      </c>
      <c r="S54" s="34">
        <v>29</v>
      </c>
      <c r="T54" s="34">
        <v>197</v>
      </c>
      <c r="U54" s="35">
        <v>1</v>
      </c>
    </row>
    <row r="55" spans="12:21">
      <c r="L55" s="10" t="s">
        <v>121</v>
      </c>
      <c r="M55" s="34" t="s">
        <v>122</v>
      </c>
      <c r="N55" s="34">
        <v>0.72807017543859653</v>
      </c>
      <c r="O55" s="34">
        <v>0</v>
      </c>
      <c r="P55" s="34">
        <v>0</v>
      </c>
      <c r="Q55" s="34">
        <v>0</v>
      </c>
      <c r="R55" s="34">
        <v>0</v>
      </c>
      <c r="S55" s="34">
        <v>14</v>
      </c>
      <c r="T55" s="34">
        <v>83</v>
      </c>
      <c r="U55" s="35">
        <v>17</v>
      </c>
    </row>
    <row r="56" spans="12:21">
      <c r="L56" s="11" t="s">
        <v>123</v>
      </c>
      <c r="M56" s="34" t="s">
        <v>124</v>
      </c>
      <c r="N56" s="34">
        <v>0.7</v>
      </c>
      <c r="O56" s="34">
        <v>0.4</v>
      </c>
      <c r="P56" s="34">
        <v>1</v>
      </c>
      <c r="Q56" s="34">
        <v>0.57142857142857151</v>
      </c>
      <c r="R56" s="34">
        <v>2</v>
      </c>
      <c r="S56" s="34">
        <v>3</v>
      </c>
      <c r="T56" s="34">
        <v>5</v>
      </c>
      <c r="U56" s="35">
        <v>0</v>
      </c>
    </row>
    <row r="57" spans="12:21">
      <c r="L57" s="10" t="s">
        <v>125</v>
      </c>
      <c r="M57" s="34" t="s">
        <v>126</v>
      </c>
      <c r="N57" s="34">
        <v>0.66666666666666663</v>
      </c>
      <c r="O57" s="34">
        <v>0</v>
      </c>
      <c r="P57" s="34">
        <v>0</v>
      </c>
      <c r="Q57" s="34">
        <v>0</v>
      </c>
      <c r="R57" s="34">
        <v>0</v>
      </c>
      <c r="S57" s="34">
        <v>1</v>
      </c>
      <c r="T57" s="34">
        <v>2</v>
      </c>
      <c r="U57" s="35">
        <v>0</v>
      </c>
    </row>
    <row r="58" spans="12:21">
      <c r="L58" s="11" t="s">
        <v>127</v>
      </c>
      <c r="M58" s="34" t="s">
        <v>71</v>
      </c>
      <c r="N58" s="34">
        <v>1</v>
      </c>
      <c r="O58" s="34">
        <v>0</v>
      </c>
      <c r="P58" s="34">
        <v>0</v>
      </c>
      <c r="Q58" s="34">
        <v>0</v>
      </c>
      <c r="R58" s="34">
        <v>1</v>
      </c>
      <c r="S58" s="34">
        <v>0</v>
      </c>
      <c r="T58" s="34">
        <v>0</v>
      </c>
      <c r="U58" s="35">
        <v>0</v>
      </c>
    </row>
    <row r="59" spans="12:21">
      <c r="L59" s="11" t="s">
        <v>128</v>
      </c>
      <c r="M59" s="34" t="s">
        <v>129</v>
      </c>
      <c r="N59" s="34">
        <v>4.1666666666666657E-2</v>
      </c>
      <c r="O59" s="34">
        <v>4.1666666666666657E-2</v>
      </c>
      <c r="P59" s="34">
        <v>1</v>
      </c>
      <c r="Q59" s="34">
        <v>7.9999999999999988E-2</v>
      </c>
      <c r="R59" s="34">
        <v>4</v>
      </c>
      <c r="S59" s="34">
        <v>92</v>
      </c>
      <c r="T59" s="34">
        <v>0</v>
      </c>
      <c r="U59" s="35">
        <v>0</v>
      </c>
    </row>
    <row r="60" spans="12:21" ht="15" thickBot="1">
      <c r="L60" s="36" t="s">
        <v>130</v>
      </c>
      <c r="M60" s="37" t="s">
        <v>131</v>
      </c>
      <c r="N60" s="37">
        <v>0.85928143712574845</v>
      </c>
      <c r="O60" s="37">
        <v>0.92869269949066213</v>
      </c>
      <c r="P60" s="37">
        <v>0.91318864774624375</v>
      </c>
      <c r="Q60" s="37">
        <v>0.92087542087542096</v>
      </c>
      <c r="R60" s="37">
        <v>547</v>
      </c>
      <c r="S60" s="37">
        <v>42</v>
      </c>
      <c r="T60" s="37">
        <v>27</v>
      </c>
      <c r="U60" s="38">
        <v>52</v>
      </c>
    </row>
    <row r="61" spans="12:21">
      <c r="N61">
        <f>(Table1[[#Totals],[True Positive]]+Table1[[#Totals],[True Negative]])/(Table1[[#Totals],[False Negative]]+Table1[[#Totals],[False Positive]]+Table1[[#Totals],[True Positive]]+Table1[[#Totals],[True Negative]])</f>
        <v>0.84585772716336516</v>
      </c>
      <c r="O61">
        <f>(Table1[[#Totals],[True Positive]])/(Table1[[#Totals],[False Positive]]+Table1[[#Totals],[True Positive]])</f>
        <v>0.87943003288271826</v>
      </c>
      <c r="P61">
        <f>(Table1[[#Totals],[True Positive]])/(Table1[[#Totals],[False Negative]]+Table1[[#Totals],[True Positive]])</f>
        <v>0.94115347018572826</v>
      </c>
      <c r="Q61">
        <f>(2*Table1[[#Totals],[Precision]]*Table1[[#Totals],[Recall]])/(Table1[[#Totals],[Precision]]+Table1[[#Totals],[Recall]])</f>
        <v>0.90924544338464441</v>
      </c>
      <c r="R61">
        <f>SUM(Table1[True Positive])</f>
        <v>19256</v>
      </c>
      <c r="S61">
        <f>SUBTOTAL(109,Table1[False Positive])</f>
        <v>2640</v>
      </c>
      <c r="T61">
        <f>SUBTOTAL(109,Table1[True Negative])</f>
        <v>1838</v>
      </c>
      <c r="U61">
        <f>SUBTOTAL(109,Table1[False Negative])</f>
        <v>1204</v>
      </c>
    </row>
  </sheetData>
  <mergeCells count="2">
    <mergeCell ref="L2:U2"/>
    <mergeCell ref="B2:J2"/>
  </mergeCells>
  <pageMargins left="0.7" right="0.7" top="0.75" bottom="0.75" header="0.3" footer="0.3"/>
  <ignoredErrors>
    <ignoredError sqref="G4:G6 H4:J6" formulaRange="1"/>
  </ignoredErrors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C6F16-E939-488D-B829-A246F31116CC}">
  <dimension ref="B1:K7"/>
  <sheetViews>
    <sheetView workbookViewId="0">
      <selection activeCell="H3" sqref="H3:K3"/>
    </sheetView>
  </sheetViews>
  <sheetFormatPr defaultRowHeight="14.45"/>
  <cols>
    <col min="2" max="2" width="47.42578125" bestFit="1" customWidth="1"/>
    <col min="3" max="3" width="22" hidden="1" customWidth="1"/>
    <col min="4" max="7" width="12" bestFit="1" customWidth="1"/>
    <col min="8" max="8" width="13.7109375" customWidth="1"/>
    <col min="9" max="9" width="14" customWidth="1"/>
    <col min="10" max="10" width="14.5703125" customWidth="1"/>
    <col min="11" max="11" width="14.85546875" customWidth="1"/>
  </cols>
  <sheetData>
    <row r="1" spans="2:11" ht="44.45" customHeight="1">
      <c r="B1" s="87" t="s">
        <v>132</v>
      </c>
      <c r="C1" s="88"/>
      <c r="D1" s="88"/>
      <c r="E1" s="88"/>
      <c r="F1" s="88"/>
      <c r="G1" s="88"/>
      <c r="H1" s="88"/>
      <c r="I1" s="88"/>
      <c r="J1" s="88"/>
      <c r="K1" s="89"/>
    </row>
    <row r="2" spans="2:11" ht="15" thickBot="1">
      <c r="B2" s="79" t="s">
        <v>133</v>
      </c>
      <c r="C2" s="80" t="s">
        <v>11</v>
      </c>
      <c r="D2" s="80" t="s">
        <v>2</v>
      </c>
      <c r="E2" s="80" t="s">
        <v>3</v>
      </c>
      <c r="F2" s="80" t="s">
        <v>4</v>
      </c>
      <c r="G2" s="80" t="s">
        <v>5</v>
      </c>
      <c r="H2" s="80" t="s">
        <v>6</v>
      </c>
      <c r="I2" s="80" t="s">
        <v>7</v>
      </c>
      <c r="J2" s="80" t="s">
        <v>8</v>
      </c>
      <c r="K2" s="81" t="s">
        <v>9</v>
      </c>
    </row>
    <row r="3" spans="2:11">
      <c r="B3" s="57" t="s">
        <v>134</v>
      </c>
      <c r="C3" s="58" t="s">
        <v>31</v>
      </c>
      <c r="D3" s="59">
        <f>(Table4[[#This Row],[True Positive]]+Table4[[#This Row],[True Negative]])/(Table4[[#This Row],[True Positive]]+Table4[[#This Row],[False Positive]]+Table4[[#This Row],[True Negative]]+Table4[[#This Row],[False Negative]])</f>
        <v>0.82367758186397988</v>
      </c>
      <c r="E3" s="59">
        <f>Table4[[#This Row],[True Positive]]/(Table4[[#This Row],[True Positive]]+Table4[[#This Row],[False Positive]])</f>
        <v>0.82816901408450705</v>
      </c>
      <c r="F3" s="59">
        <f>Table4[[#This Row],[True Positive]]/(Table4[[#This Row],[True Positive]]+Table4[[#This Row],[False Negative]])</f>
        <v>0.97029702970297027</v>
      </c>
      <c r="G3" s="59">
        <f>2*Table4[[#This Row],[Precision]]*Table4[[#This Row],[Recall]]/(Table4[[#This Row],[Precision]]+Table4[[#This Row],[Recall]])</f>
        <v>0.8936170212765957</v>
      </c>
      <c r="H3" s="58">
        <v>294</v>
      </c>
      <c r="I3" s="58">
        <v>61</v>
      </c>
      <c r="J3" s="58">
        <v>33</v>
      </c>
      <c r="K3" s="60">
        <v>9</v>
      </c>
    </row>
    <row r="4" spans="2:11">
      <c r="B4" s="61" t="s">
        <v>135</v>
      </c>
      <c r="C4" s="55" t="s">
        <v>90</v>
      </c>
      <c r="D4" s="56">
        <f>(Table4[[#This Row],[True Positive]]+Table4[[#This Row],[True Negative]])/(Table4[[#This Row],[True Positive]]+Table4[[#This Row],[False Positive]]+Table4[[#This Row],[True Negative]]+Table4[[#This Row],[False Negative]])</f>
        <v>0.83620689655172409</v>
      </c>
      <c r="E4" s="56">
        <f>Table4[[#This Row],[True Positive]]/(Table4[[#This Row],[True Positive]]+Table4[[#This Row],[False Positive]])</f>
        <v>0.90721649484536082</v>
      </c>
      <c r="F4" s="56">
        <f>Table4[[#This Row],[True Positive]]/(Table4[[#This Row],[True Positive]]+Table4[[#This Row],[False Negative]])</f>
        <v>0.89795918367346939</v>
      </c>
      <c r="G4" s="54">
        <f>2*Table4[[#This Row],[Precision]]*Table4[[#This Row],[Recall]]/(Table4[[#This Row],[Precision]]+Table4[[#This Row],[Recall]])</f>
        <v>0.90256410256410258</v>
      </c>
      <c r="H4" s="55">
        <v>88</v>
      </c>
      <c r="I4" s="55">
        <v>9</v>
      </c>
      <c r="J4" s="55">
        <v>9</v>
      </c>
      <c r="K4" s="62">
        <v>10</v>
      </c>
    </row>
    <row r="5" spans="2:11" ht="14.45" customHeight="1" thickBot="1">
      <c r="B5" s="82" t="s">
        <v>136</v>
      </c>
      <c r="C5" s="77" t="s">
        <v>106</v>
      </c>
      <c r="D5" s="78">
        <f>(Table4[[#This Row],[True Positive]]+Table4[[#This Row],[True Negative]])/(Table4[[#This Row],[True Positive]]+Table4[[#This Row],[False Positive]]+Table4[[#This Row],[True Negative]]+Table4[[#This Row],[False Negative]])</f>
        <v>0.82014388489208634</v>
      </c>
      <c r="E5" s="78">
        <f>Table4[[#This Row],[True Positive]]/(Table4[[#This Row],[True Positive]]+Table4[[#This Row],[False Positive]])</f>
        <v>0.84920634920634919</v>
      </c>
      <c r="F5" s="78">
        <f>Table4[[#This Row],[True Positive]]/(Table4[[#This Row],[True Positive]]+Table4[[#This Row],[False Negative]])</f>
        <v>0.94690265486725667</v>
      </c>
      <c r="G5" s="78">
        <f>2*Table4[[#This Row],[Precision]]*Table4[[#This Row],[Recall]]/(Table4[[#This Row],[Precision]]+Table4[[#This Row],[Recall]])</f>
        <v>0.89539748953974896</v>
      </c>
      <c r="H5" s="77">
        <v>107</v>
      </c>
      <c r="I5" s="77">
        <v>19</v>
      </c>
      <c r="J5" s="77">
        <v>7</v>
      </c>
      <c r="K5" s="83">
        <v>6</v>
      </c>
    </row>
    <row r="6" spans="2:11">
      <c r="B6" s="57" t="s">
        <v>137</v>
      </c>
      <c r="C6" s="58" t="s">
        <v>25</v>
      </c>
      <c r="D6" s="59">
        <f>(Table4[[#This Row],[True Positive]]+Table4[[#This Row],[True Negative]])/(Table4[[#This Row],[True Positive]]+Table4[[#This Row],[False Positive]]+Table4[[#This Row],[True Negative]]+Table4[[#This Row],[False Negative]])</f>
        <v>0.8690958164642375</v>
      </c>
      <c r="E6" s="59">
        <f>Table4[[#This Row],[True Positive]]/(Table4[[#This Row],[True Positive]]+Table4[[#This Row],[False Positive]])</f>
        <v>0.88268156424581001</v>
      </c>
      <c r="F6" s="59">
        <f>Table4[[#This Row],[True Positive]]/(Table4[[#This Row],[True Positive]]+Table4[[#This Row],[False Negative]])</f>
        <v>0.97984496124031006</v>
      </c>
      <c r="G6" s="59">
        <f>2*Table4[[#This Row],[Precision]]*Table4[[#This Row],[Recall]]/(Table4[[#This Row],[Precision]]+Table4[[#This Row],[Recall]])</f>
        <v>0.92872887582659802</v>
      </c>
      <c r="H6" s="58">
        <v>632</v>
      </c>
      <c r="I6" s="58">
        <v>84</v>
      </c>
      <c r="J6" s="58">
        <v>12</v>
      </c>
      <c r="K6" s="60">
        <v>13</v>
      </c>
    </row>
    <row r="7" spans="2:11" ht="15" thickBot="1">
      <c r="B7" s="63" t="s">
        <v>138</v>
      </c>
      <c r="C7" s="64" t="s">
        <v>69</v>
      </c>
      <c r="D7" s="65">
        <f>(Table4[[#This Row],[True Positive]]+Table4[[#This Row],[True Negative]])/(Table4[[#This Row],[True Positive]]+Table4[[#This Row],[False Positive]]+Table4[[#This Row],[True Negative]]+Table4[[#This Row],[False Negative]])</f>
        <v>0.83991825613079019</v>
      </c>
      <c r="E7" s="65">
        <f>Table4[[#This Row],[True Positive]]/(Table4[[#This Row],[True Positive]]+Table4[[#This Row],[False Positive]])</f>
        <v>0.88969404186795487</v>
      </c>
      <c r="F7" s="65">
        <f>Table4[[#This Row],[True Positive]]/(Table4[[#This Row],[True Positive]]+Table4[[#This Row],[False Negative]])</f>
        <v>0.91853699085619289</v>
      </c>
      <c r="G7" s="65">
        <f>2*Table4[[#This Row],[Precision]]*Table4[[#This Row],[Recall]]/(Table4[[#This Row],[Precision]]+Table4[[#This Row],[Recall]])</f>
        <v>0.9038854805725971</v>
      </c>
      <c r="H7" s="64">
        <v>5525</v>
      </c>
      <c r="I7" s="64">
        <v>685</v>
      </c>
      <c r="J7" s="64">
        <v>640</v>
      </c>
      <c r="K7" s="66">
        <v>490</v>
      </c>
    </row>
  </sheetData>
  <mergeCells count="1">
    <mergeCell ref="B1:K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5C81F-69F5-483E-82BD-19105A543B2C}">
  <dimension ref="B1:G32"/>
  <sheetViews>
    <sheetView tabSelected="1" topLeftCell="A7" zoomScaleNormal="100" workbookViewId="0">
      <selection activeCell="D22" sqref="D22"/>
    </sheetView>
  </sheetViews>
  <sheetFormatPr defaultRowHeight="14.45"/>
  <cols>
    <col min="2" max="2" width="15.140625" customWidth="1"/>
    <col min="3" max="3" width="25.7109375" bestFit="1" customWidth="1"/>
    <col min="4" max="4" width="34.85546875" customWidth="1"/>
    <col min="5" max="5" width="34.28515625" customWidth="1"/>
    <col min="6" max="6" width="19.140625" customWidth="1"/>
    <col min="7" max="7" width="12" customWidth="1"/>
  </cols>
  <sheetData>
    <row r="1" spans="2:7" ht="15" thickBot="1"/>
    <row r="2" spans="2:7" ht="48" customHeight="1" thickBot="1">
      <c r="B2" s="87" t="s">
        <v>139</v>
      </c>
      <c r="C2" s="88"/>
      <c r="D2" s="88"/>
      <c r="E2" s="88"/>
      <c r="F2" s="88"/>
      <c r="G2" s="89"/>
    </row>
    <row r="3" spans="2:7" ht="43.15">
      <c r="B3" s="17" t="s">
        <v>1</v>
      </c>
      <c r="C3" s="18" t="s">
        <v>140</v>
      </c>
      <c r="D3" s="26" t="s">
        <v>141</v>
      </c>
      <c r="E3" s="26" t="s">
        <v>142</v>
      </c>
      <c r="F3" s="26" t="s">
        <v>143</v>
      </c>
      <c r="G3" s="25" t="s">
        <v>144</v>
      </c>
    </row>
    <row r="4" spans="2:7">
      <c r="B4" s="90" t="s">
        <v>145</v>
      </c>
      <c r="C4" s="29" t="s">
        <v>146</v>
      </c>
      <c r="D4" s="30">
        <v>390.04646939014299</v>
      </c>
      <c r="E4" s="3">
        <v>350</v>
      </c>
      <c r="F4" s="1">
        <v>-40.046469390142988</v>
      </c>
      <c r="G4" s="23"/>
    </row>
    <row r="5" spans="2:7">
      <c r="B5" s="90"/>
      <c r="C5" s="29" t="s">
        <v>147</v>
      </c>
      <c r="D5" s="30">
        <v>464.81178359549335</v>
      </c>
      <c r="E5" s="3">
        <v>358</v>
      </c>
      <c r="F5" s="1">
        <v>-106.81178359549335</v>
      </c>
      <c r="G5" s="23"/>
    </row>
    <row r="6" spans="2:7">
      <c r="B6" s="90"/>
      <c r="C6" s="29" t="s">
        <v>148</v>
      </c>
      <c r="D6" s="30">
        <v>1274.1515867417031</v>
      </c>
      <c r="E6" s="3">
        <v>1177</v>
      </c>
      <c r="F6" s="1">
        <v>-97.151586741703113</v>
      </c>
      <c r="G6" s="23"/>
    </row>
    <row r="7" spans="2:7">
      <c r="B7" s="90"/>
      <c r="C7" s="29" t="s">
        <v>149</v>
      </c>
      <c r="D7" s="30">
        <v>210.83484166673338</v>
      </c>
      <c r="E7" s="3">
        <v>170</v>
      </c>
      <c r="F7" s="1">
        <v>-40.834841666733382</v>
      </c>
      <c r="G7" s="23"/>
    </row>
    <row r="8" spans="2:7">
      <c r="B8" s="90"/>
      <c r="C8" s="29" t="s">
        <v>150</v>
      </c>
      <c r="D8" s="30">
        <v>1535.8971107097141</v>
      </c>
      <c r="E8" s="3">
        <v>1658</v>
      </c>
      <c r="F8" s="1">
        <v>122.10288929028593</v>
      </c>
      <c r="G8" s="23"/>
    </row>
    <row r="9" spans="2:7">
      <c r="B9" s="90"/>
      <c r="C9" s="2" t="s">
        <v>151</v>
      </c>
      <c r="D9" s="31">
        <v>3034.9262380538657</v>
      </c>
      <c r="E9" s="4">
        <v>3004</v>
      </c>
      <c r="F9" s="14">
        <v>-30.926238053865745</v>
      </c>
      <c r="G9" s="23"/>
    </row>
    <row r="10" spans="2:7">
      <c r="B10" s="90"/>
      <c r="C10" s="29" t="s">
        <v>152</v>
      </c>
      <c r="D10" s="30">
        <v>274.70293306452982</v>
      </c>
      <c r="E10" s="3">
        <v>307</v>
      </c>
      <c r="F10" s="1">
        <v>32.297066935470184</v>
      </c>
      <c r="G10" s="23"/>
    </row>
    <row r="11" spans="2:7">
      <c r="B11" s="90"/>
      <c r="C11" s="2" t="s">
        <v>153</v>
      </c>
      <c r="D11" s="31">
        <v>123.2017447595089</v>
      </c>
      <c r="E11" s="4">
        <v>59</v>
      </c>
      <c r="F11" s="14">
        <v>-64.201744759508898</v>
      </c>
      <c r="G11" s="23"/>
    </row>
    <row r="12" spans="2:7" ht="29.45" customHeight="1">
      <c r="B12" s="19" t="s">
        <v>145</v>
      </c>
      <c r="C12" s="19"/>
      <c r="D12" s="28">
        <f>SUM(D4:D11)</f>
        <v>7308.5727079816916</v>
      </c>
      <c r="E12" s="19">
        <f>SUM(E4:E11)</f>
        <v>7083</v>
      </c>
      <c r="F12" s="28">
        <f>SUM(F4:F11)</f>
        <v>-225.57270798169137</v>
      </c>
      <c r="G12" s="27">
        <f>Table2[[#This Row],[Error from 
prediction in July 2023]]/Table2[[#This Row],[Actual 
Fall 2023 Non-Continuing Students]]</f>
        <v>-3.1847057458942729E-2</v>
      </c>
    </row>
    <row r="13" spans="2:7">
      <c r="B13" s="90" t="s">
        <v>12</v>
      </c>
      <c r="C13" s="29" t="s">
        <v>146</v>
      </c>
      <c r="D13" s="30">
        <v>258.467530525499</v>
      </c>
      <c r="E13" s="3">
        <v>178</v>
      </c>
      <c r="F13" s="1">
        <v>-80.467530525499001</v>
      </c>
      <c r="G13" s="20"/>
    </row>
    <row r="14" spans="2:7">
      <c r="B14" s="90"/>
      <c r="C14" s="29" t="s">
        <v>147</v>
      </c>
      <c r="D14" s="30">
        <v>75.482710625973027</v>
      </c>
      <c r="E14" s="3">
        <v>71</v>
      </c>
      <c r="F14" s="1">
        <v>-4.4827106259730272</v>
      </c>
      <c r="G14" s="20"/>
    </row>
    <row r="15" spans="2:7">
      <c r="B15" s="90"/>
      <c r="C15" s="29" t="s">
        <v>148</v>
      </c>
      <c r="D15" s="30">
        <v>366.29779258096301</v>
      </c>
      <c r="E15" s="3">
        <v>332</v>
      </c>
      <c r="F15" s="1">
        <v>-34.297792580963005</v>
      </c>
      <c r="G15" s="20"/>
    </row>
    <row r="16" spans="2:7">
      <c r="B16" s="90"/>
      <c r="C16" s="29" t="s">
        <v>154</v>
      </c>
      <c r="D16" s="30">
        <v>12.65542968968424</v>
      </c>
      <c r="E16" s="3">
        <v>13</v>
      </c>
      <c r="F16" s="1">
        <v>0.3445703103157598</v>
      </c>
      <c r="G16" s="20"/>
    </row>
    <row r="17" spans="2:7">
      <c r="B17" s="90"/>
      <c r="C17" s="29" t="s">
        <v>149</v>
      </c>
      <c r="D17" s="30">
        <v>342.61850837752206</v>
      </c>
      <c r="E17" s="3">
        <v>161</v>
      </c>
      <c r="F17" s="1">
        <v>-181.61850837752206</v>
      </c>
      <c r="G17" s="20"/>
    </row>
    <row r="18" spans="2:7">
      <c r="B18" s="90"/>
      <c r="C18" s="29" t="s">
        <v>150</v>
      </c>
      <c r="D18" s="30">
        <v>499.47369109738133</v>
      </c>
      <c r="E18" s="3">
        <v>402</v>
      </c>
      <c r="F18" s="1">
        <v>-97.473691097381334</v>
      </c>
      <c r="G18" s="20"/>
    </row>
    <row r="19" spans="2:7">
      <c r="B19" s="90"/>
      <c r="C19" s="2" t="s">
        <v>151</v>
      </c>
      <c r="D19" s="31">
        <v>260.1415567285872</v>
      </c>
      <c r="E19" s="4">
        <v>258</v>
      </c>
      <c r="F19" s="14">
        <v>-2.1415567285872044</v>
      </c>
      <c r="G19" s="20"/>
    </row>
    <row r="20" spans="2:7">
      <c r="B20" s="90"/>
      <c r="C20" s="29" t="s">
        <v>152</v>
      </c>
      <c r="D20" s="30">
        <v>89.465756995329656</v>
      </c>
      <c r="E20" s="3">
        <v>138</v>
      </c>
      <c r="F20" s="1">
        <v>48.534243004670344</v>
      </c>
      <c r="G20" s="20"/>
    </row>
    <row r="21" spans="2:7">
      <c r="B21" s="90"/>
      <c r="C21" s="29" t="s">
        <v>155</v>
      </c>
      <c r="D21" s="30">
        <v>211.2969407357034</v>
      </c>
      <c r="E21" s="3">
        <v>27</v>
      </c>
      <c r="F21" s="1">
        <v>-184.2969407357034</v>
      </c>
      <c r="G21" s="20"/>
    </row>
    <row r="22" spans="2:7">
      <c r="B22" s="90"/>
      <c r="C22" s="2" t="s">
        <v>153</v>
      </c>
      <c r="D22" s="31">
        <v>248.29087738308777</v>
      </c>
      <c r="E22" s="4">
        <v>183</v>
      </c>
      <c r="F22" s="14">
        <v>-65.290877383087775</v>
      </c>
      <c r="G22" s="20"/>
    </row>
    <row r="23" spans="2:7">
      <c r="B23" s="90"/>
      <c r="C23" s="29" t="s">
        <v>156</v>
      </c>
      <c r="D23" s="30">
        <v>202.3099316112569</v>
      </c>
      <c r="E23" s="3">
        <v>273</v>
      </c>
      <c r="F23" s="1">
        <v>70.6900683887431</v>
      </c>
      <c r="G23" s="20"/>
    </row>
    <row r="24" spans="2:7">
      <c r="B24" s="90"/>
      <c r="C24" s="29" t="s">
        <v>157</v>
      </c>
      <c r="D24" s="30">
        <v>147.45714658870008</v>
      </c>
      <c r="E24" s="3">
        <v>103</v>
      </c>
      <c r="F24" s="1">
        <v>-44.457146588700084</v>
      </c>
      <c r="G24" s="20"/>
    </row>
    <row r="25" spans="2:7">
      <c r="B25" s="90"/>
      <c r="C25" s="29" t="s">
        <v>158</v>
      </c>
      <c r="D25" s="30">
        <v>37.725118953604138</v>
      </c>
      <c r="E25" s="3">
        <v>53</v>
      </c>
      <c r="F25" s="1">
        <v>15.274881046395862</v>
      </c>
      <c r="G25" s="20"/>
    </row>
    <row r="26" spans="2:7" ht="31.15" customHeight="1">
      <c r="B26" s="19" t="s">
        <v>12</v>
      </c>
      <c r="C26" s="16"/>
      <c r="D26" s="28">
        <f>SUM(D13:D25)</f>
        <v>2751.6829918932922</v>
      </c>
      <c r="E26" s="19">
        <f>SUM(E13:E25)</f>
        <v>2192</v>
      </c>
      <c r="F26" s="28">
        <f>SUM(F13:F25)</f>
        <v>-559.68299189329184</v>
      </c>
      <c r="G26" s="27">
        <f>Table2[[#Totals],[Error from 
prediction in July 2023]]/Table2[[#Totals],[Actual 
Fall 2023 Non-Continuing Students]]</f>
        <v>-0.25532983206810761</v>
      </c>
    </row>
    <row r="27" spans="2:7">
      <c r="B27" s="90" t="s">
        <v>18</v>
      </c>
      <c r="C27" s="32" t="s">
        <v>146</v>
      </c>
      <c r="D27" s="33">
        <v>127.86143327339164</v>
      </c>
      <c r="E27" s="3">
        <v>108</v>
      </c>
      <c r="F27" s="5">
        <v>-19.86143327339164</v>
      </c>
      <c r="G27" s="24"/>
    </row>
    <row r="28" spans="2:7">
      <c r="B28" s="90"/>
      <c r="C28" s="6" t="s">
        <v>154</v>
      </c>
      <c r="D28" s="7">
        <v>92.281314657392244</v>
      </c>
      <c r="E28" s="3">
        <v>68</v>
      </c>
      <c r="F28" s="5">
        <v>-24.281314657392244</v>
      </c>
      <c r="G28" s="24"/>
    </row>
    <row r="29" spans="2:7">
      <c r="B29" s="90"/>
      <c r="C29" s="32" t="s">
        <v>158</v>
      </c>
      <c r="D29" s="33">
        <v>406.88565122650368</v>
      </c>
      <c r="E29" s="3">
        <v>531</v>
      </c>
      <c r="F29" s="5">
        <v>124.11434877349632</v>
      </c>
      <c r="G29" s="24"/>
    </row>
    <row r="30" spans="2:7">
      <c r="B30" s="90"/>
      <c r="C30" s="32" t="s">
        <v>152</v>
      </c>
      <c r="D30" s="33">
        <v>97.111839750137989</v>
      </c>
      <c r="E30" s="3">
        <v>109</v>
      </c>
      <c r="F30" s="5">
        <v>11.888160249862011</v>
      </c>
      <c r="G30" s="24"/>
    </row>
    <row r="31" spans="2:7">
      <c r="B31" s="90"/>
      <c r="C31" s="6" t="s">
        <v>155</v>
      </c>
      <c r="D31" s="7">
        <v>193.79729266197063</v>
      </c>
      <c r="E31" s="3">
        <v>139</v>
      </c>
      <c r="F31" s="5">
        <v>-54.79729266197063</v>
      </c>
      <c r="G31" s="24"/>
    </row>
    <row r="32" spans="2:7" ht="28.15" customHeight="1" thickBot="1">
      <c r="B32" s="21" t="s">
        <v>18</v>
      </c>
      <c r="C32" s="22"/>
      <c r="D32" s="28">
        <f>SUM(D27:D31)</f>
        <v>917.93753156939624</v>
      </c>
      <c r="E32" s="19">
        <f>SUM(E27:E31)</f>
        <v>955</v>
      </c>
      <c r="F32" s="28">
        <f>SUM(F27:F31)</f>
        <v>37.062468430603815</v>
      </c>
      <c r="G32" s="27">
        <f>F32/E32</f>
        <v>3.8808867466600852E-2</v>
      </c>
    </row>
  </sheetData>
  <mergeCells count="4">
    <mergeCell ref="B4:B11"/>
    <mergeCell ref="B13:B25"/>
    <mergeCell ref="B27:B31"/>
    <mergeCell ref="B2:G2"/>
  </mergeCells>
  <phoneticPr fontId="8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830FB-2596-4D3D-A658-3C992D3E02FA}">
  <dimension ref="B1:F27"/>
  <sheetViews>
    <sheetView topLeftCell="A3" zoomScale="90" zoomScaleNormal="90" workbookViewId="0">
      <selection activeCell="F20" sqref="F20"/>
    </sheetView>
  </sheetViews>
  <sheetFormatPr defaultRowHeight="14.45"/>
  <cols>
    <col min="2" max="2" width="12.42578125" bestFit="1" customWidth="1"/>
    <col min="3" max="3" width="26" bestFit="1" customWidth="1"/>
    <col min="4" max="4" width="27.7109375" bestFit="1" customWidth="1"/>
    <col min="5" max="5" width="34.28515625" bestFit="1" customWidth="1"/>
    <col min="6" max="6" width="29.28515625" bestFit="1" customWidth="1"/>
  </cols>
  <sheetData>
    <row r="1" spans="2:6" ht="15" thickBot="1"/>
    <row r="2" spans="2:6" ht="49.15" customHeight="1" thickBot="1">
      <c r="B2" s="91" t="s">
        <v>159</v>
      </c>
      <c r="C2" s="92"/>
      <c r="D2" s="92"/>
      <c r="E2" s="92"/>
      <c r="F2" s="93"/>
    </row>
    <row r="3" spans="2:6" ht="38.450000000000003" customHeight="1">
      <c r="B3" s="72" t="s">
        <v>160</v>
      </c>
      <c r="C3" s="73" t="s">
        <v>140</v>
      </c>
      <c r="D3" s="74" t="s">
        <v>161</v>
      </c>
      <c r="E3" s="75" t="s">
        <v>162</v>
      </c>
      <c r="F3" s="76" t="s">
        <v>143</v>
      </c>
    </row>
    <row r="4" spans="2:6">
      <c r="B4" s="90" t="s">
        <v>145</v>
      </c>
      <c r="C4" s="32" t="s">
        <v>146</v>
      </c>
      <c r="D4" s="8">
        <v>389</v>
      </c>
      <c r="E4" s="3">
        <v>724</v>
      </c>
      <c r="F4" s="12">
        <f>E4-D4</f>
        <v>335</v>
      </c>
    </row>
    <row r="5" spans="2:6">
      <c r="B5" s="90"/>
      <c r="C5" s="6" t="s">
        <v>147</v>
      </c>
      <c r="D5" s="8">
        <v>192</v>
      </c>
      <c r="E5" s="3">
        <v>839</v>
      </c>
      <c r="F5" s="12">
        <f t="shared" ref="F5:F12" si="0">E5-D5</f>
        <v>647</v>
      </c>
    </row>
    <row r="6" spans="2:6">
      <c r="B6" s="90"/>
      <c r="C6" s="32" t="s">
        <v>148</v>
      </c>
      <c r="D6" s="8">
        <v>709</v>
      </c>
      <c r="E6" s="3">
        <v>2839</v>
      </c>
      <c r="F6" s="12">
        <f t="shared" si="0"/>
        <v>2130</v>
      </c>
    </row>
    <row r="7" spans="2:6">
      <c r="B7" s="90"/>
      <c r="C7" s="6" t="s">
        <v>149</v>
      </c>
      <c r="D7" s="8">
        <v>139</v>
      </c>
      <c r="E7" s="3">
        <v>403</v>
      </c>
      <c r="F7" s="12">
        <f t="shared" si="0"/>
        <v>264</v>
      </c>
    </row>
    <row r="8" spans="2:6">
      <c r="B8" s="90"/>
      <c r="C8" s="32" t="s">
        <v>150</v>
      </c>
      <c r="D8" s="8">
        <v>1813</v>
      </c>
      <c r="E8" s="3">
        <v>3276</v>
      </c>
      <c r="F8" s="12">
        <f t="shared" si="0"/>
        <v>1463</v>
      </c>
    </row>
    <row r="9" spans="2:6">
      <c r="B9" s="90"/>
      <c r="C9" s="2" t="s">
        <v>151</v>
      </c>
      <c r="D9" s="67">
        <v>3296</v>
      </c>
      <c r="E9" s="4">
        <v>6015</v>
      </c>
      <c r="F9" s="68">
        <f t="shared" si="0"/>
        <v>2719</v>
      </c>
    </row>
    <row r="10" spans="2:6">
      <c r="B10" s="90"/>
      <c r="C10" s="32" t="s">
        <v>152</v>
      </c>
      <c r="D10" s="8">
        <v>246</v>
      </c>
      <c r="E10" s="3">
        <v>533</v>
      </c>
      <c r="F10" s="12">
        <f t="shared" si="0"/>
        <v>287</v>
      </c>
    </row>
    <row r="11" spans="2:6">
      <c r="B11" s="90"/>
      <c r="C11" s="2" t="s">
        <v>153</v>
      </c>
      <c r="D11" s="67">
        <v>43</v>
      </c>
      <c r="E11" s="4">
        <v>114</v>
      </c>
      <c r="F11" s="68">
        <f t="shared" si="0"/>
        <v>71</v>
      </c>
    </row>
    <row r="12" spans="2:6">
      <c r="B12" s="90"/>
      <c r="C12" s="32" t="s">
        <v>157</v>
      </c>
      <c r="D12" s="8">
        <v>62</v>
      </c>
      <c r="E12" s="3">
        <v>147</v>
      </c>
      <c r="F12" s="12">
        <f t="shared" si="0"/>
        <v>85</v>
      </c>
    </row>
    <row r="13" spans="2:6" ht="31.15" customHeight="1">
      <c r="B13" s="19" t="s">
        <v>145</v>
      </c>
      <c r="C13" s="15"/>
      <c r="D13" s="15">
        <f>SUM(D4:D12)</f>
        <v>6889</v>
      </c>
      <c r="E13" s="15">
        <f>SUM(E4:E12)</f>
        <v>14890</v>
      </c>
      <c r="F13" s="69">
        <f>SUM(F4:F12)</f>
        <v>8001</v>
      </c>
    </row>
    <row r="14" spans="2:6" ht="15">
      <c r="B14" s="90" t="s">
        <v>12</v>
      </c>
      <c r="C14" s="32" t="s">
        <v>146</v>
      </c>
      <c r="D14" s="8">
        <v>132</v>
      </c>
      <c r="E14" s="3">
        <v>411</v>
      </c>
      <c r="F14" s="12">
        <f>E14-D14</f>
        <v>279</v>
      </c>
    </row>
    <row r="15" spans="2:6" ht="15">
      <c r="B15" s="90"/>
      <c r="C15" s="6" t="s">
        <v>147</v>
      </c>
      <c r="D15" s="8">
        <v>7</v>
      </c>
      <c r="E15" s="3">
        <v>104</v>
      </c>
      <c r="F15" s="12">
        <f t="shared" ref="F15:F22" si="1">E15-D15</f>
        <v>97</v>
      </c>
    </row>
    <row r="16" spans="2:6" ht="15">
      <c r="B16" s="90"/>
      <c r="C16" s="32" t="s">
        <v>148</v>
      </c>
      <c r="D16" s="8">
        <v>284</v>
      </c>
      <c r="E16" s="3">
        <v>691</v>
      </c>
      <c r="F16" s="12">
        <f t="shared" si="1"/>
        <v>407</v>
      </c>
    </row>
    <row r="17" spans="2:6" ht="15">
      <c r="B17" s="90"/>
      <c r="C17" s="6" t="s">
        <v>150</v>
      </c>
      <c r="D17" s="8">
        <v>38</v>
      </c>
      <c r="E17" s="3">
        <v>884</v>
      </c>
      <c r="F17" s="12">
        <f t="shared" si="1"/>
        <v>846</v>
      </c>
    </row>
    <row r="18" spans="2:6" ht="15">
      <c r="B18" s="90"/>
      <c r="C18" s="2" t="s">
        <v>151</v>
      </c>
      <c r="D18" s="67">
        <v>16</v>
      </c>
      <c r="E18" s="4">
        <v>923</v>
      </c>
      <c r="F18" s="68">
        <f t="shared" si="1"/>
        <v>907</v>
      </c>
    </row>
    <row r="19" spans="2:6" ht="15">
      <c r="B19" s="90"/>
      <c r="C19" s="6" t="s">
        <v>152</v>
      </c>
      <c r="D19" s="8">
        <v>316</v>
      </c>
      <c r="E19" s="3">
        <v>281</v>
      </c>
      <c r="F19" s="12">
        <f t="shared" si="1"/>
        <v>-35</v>
      </c>
    </row>
    <row r="20" spans="2:6" ht="15">
      <c r="B20" s="90"/>
      <c r="C20" s="2" t="s">
        <v>153</v>
      </c>
      <c r="D20" s="67">
        <v>272</v>
      </c>
      <c r="E20" s="4">
        <v>374</v>
      </c>
      <c r="F20" s="68">
        <f t="shared" si="1"/>
        <v>102</v>
      </c>
    </row>
    <row r="21" spans="2:6" ht="15">
      <c r="B21" s="90"/>
      <c r="C21" s="6" t="s">
        <v>156</v>
      </c>
      <c r="D21" s="8">
        <v>131</v>
      </c>
      <c r="E21" s="3">
        <v>239</v>
      </c>
      <c r="F21" s="12">
        <f t="shared" si="1"/>
        <v>108</v>
      </c>
    </row>
    <row r="22" spans="2:6" ht="15">
      <c r="B22" s="90"/>
      <c r="C22" s="32" t="s">
        <v>157</v>
      </c>
      <c r="D22" s="8">
        <v>4</v>
      </c>
      <c r="E22" s="3">
        <v>152</v>
      </c>
      <c r="F22" s="12">
        <f t="shared" si="1"/>
        <v>148</v>
      </c>
    </row>
    <row r="23" spans="2:6" ht="28.15" customHeight="1">
      <c r="B23" s="19" t="s">
        <v>12</v>
      </c>
      <c r="C23" s="15"/>
      <c r="D23" s="15">
        <f>SUM(D14:D22)</f>
        <v>1200</v>
      </c>
      <c r="E23" s="15">
        <f>SUM(E14:E22)</f>
        <v>4059</v>
      </c>
      <c r="F23" s="69">
        <f>SUM(F14:F22)</f>
        <v>2859</v>
      </c>
    </row>
    <row r="24" spans="2:6">
      <c r="B24" s="90" t="s">
        <v>18</v>
      </c>
      <c r="C24" s="32" t="s">
        <v>154</v>
      </c>
      <c r="D24" s="8">
        <v>370</v>
      </c>
      <c r="E24" s="3">
        <v>371</v>
      </c>
      <c r="F24" s="12">
        <f>E24-D24</f>
        <v>1</v>
      </c>
    </row>
    <row r="25" spans="2:6">
      <c r="B25" s="90"/>
      <c r="C25" s="6" t="s">
        <v>158</v>
      </c>
      <c r="D25" s="8">
        <v>938</v>
      </c>
      <c r="E25" s="3">
        <v>950</v>
      </c>
      <c r="F25" s="12">
        <f t="shared" ref="F25:F26" si="2">E25-D25</f>
        <v>12</v>
      </c>
    </row>
    <row r="26" spans="2:6">
      <c r="B26" s="90"/>
      <c r="C26" s="32" t="s">
        <v>155</v>
      </c>
      <c r="D26" s="8">
        <v>161</v>
      </c>
      <c r="E26" s="3">
        <v>508</v>
      </c>
      <c r="F26" s="12">
        <f t="shared" si="2"/>
        <v>347</v>
      </c>
    </row>
    <row r="27" spans="2:6" ht="15" thickBot="1">
      <c r="B27" s="21" t="s">
        <v>12</v>
      </c>
      <c r="C27" s="70"/>
      <c r="D27" s="70">
        <f>SUM(D24:D26)</f>
        <v>1469</v>
      </c>
      <c r="E27" s="70">
        <f>SUM(E24:E26)</f>
        <v>1829</v>
      </c>
      <c r="F27" s="71">
        <f>SUM(F24:F26)</f>
        <v>360</v>
      </c>
    </row>
  </sheetData>
  <mergeCells count="4">
    <mergeCell ref="B4:B12"/>
    <mergeCell ref="B2:F2"/>
    <mergeCell ref="B14:B22"/>
    <mergeCell ref="B24:B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Palakurthi, Anirudh</dc:creator>
  <cp:keywords/>
  <dc:description/>
  <cp:lastModifiedBy>Anirudh Palakurthi</cp:lastModifiedBy>
  <cp:revision/>
  <dcterms:created xsi:type="dcterms:W3CDTF">2023-12-12T16:22:42Z</dcterms:created>
  <dcterms:modified xsi:type="dcterms:W3CDTF">2024-04-21T19:42:57Z</dcterms:modified>
  <cp:category/>
  <cp:contentStatus/>
</cp:coreProperties>
</file>